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Paramètres" sheetId="2" r:id="rId2"/>
  </sheets>
  <definedNames>
    <definedName name="_xlnm.Print_Area" localSheetId="0">Journal!$A$1:$F$53</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7" i="1"/>
  <c r="B26" i="1"/>
  <c r="B28" i="1"/>
  <c r="B29" i="1"/>
  <c r="B30" i="1"/>
  <c r="B31" i="1"/>
  <c r="B32" i="1"/>
  <c r="B33" i="1"/>
  <c r="B34" i="1"/>
  <c r="B35" i="1"/>
  <c r="B36" i="1"/>
  <c r="B46" i="1"/>
  <c r="B37" i="1"/>
  <c r="B39" i="1"/>
  <c r="B40" i="1"/>
  <c r="B42" i="1"/>
  <c r="B43" i="1"/>
  <c r="B45" i="1"/>
  <c r="B48" i="1"/>
  <c r="B49" i="1"/>
  <c r="B51" i="1"/>
  <c r="B38" i="1"/>
  <c r="B41" i="1"/>
  <c r="B44" i="1"/>
  <c r="B47" i="1"/>
  <c r="B50" i="1"/>
  <c r="B52" i="1"/>
  <c r="B53" i="1"/>
</calcChain>
</file>

<file path=xl/sharedStrings.xml><?xml version="1.0" encoding="utf-8"?>
<sst xmlns="http://schemas.openxmlformats.org/spreadsheetml/2006/main" count="125" uniqueCount="70">
  <si>
    <t>Description</t>
  </si>
  <si>
    <t>Remarques/problèmes</t>
  </si>
  <si>
    <t>Jour</t>
  </si>
  <si>
    <t>Temps [h]</t>
  </si>
  <si>
    <t>Type</t>
  </si>
  <si>
    <t>Types de tâches</t>
  </si>
  <si>
    <t>Analyse</t>
  </si>
  <si>
    <t>Implémentation</t>
  </si>
  <si>
    <t>Tests</t>
  </si>
  <si>
    <t>Documentation</t>
  </si>
  <si>
    <t>Absence</t>
  </si>
  <si>
    <t>Semaine</t>
  </si>
  <si>
    <t>Prise de connaissance du projet et signature du cahier des charges</t>
  </si>
  <si>
    <t>Départ du projet en cherchant template pour le site</t>
  </si>
  <si>
    <t>Écriture de la planification initiale</t>
  </si>
  <si>
    <t>Création du trello et du github</t>
  </si>
  <si>
    <t>Début de la documentation</t>
  </si>
  <si>
    <t>Création des pages webs nécessaires</t>
  </si>
  <si>
    <t>Recherches sur la meilleure façon de garder les données des utilisateurs sans leur faire de logins</t>
  </si>
  <si>
    <t>Création MCD</t>
  </si>
  <si>
    <t>Création vue d'ensemble</t>
  </si>
  <si>
    <t>Discussions avec le chef de projet</t>
  </si>
  <si>
    <t>Discussion avec le chef de projet</t>
  </si>
  <si>
    <t>Recherches et tentatives de compréhension de comment écrire, lire et utiliser des données de CSV</t>
  </si>
  <si>
    <t>Correction de la doc, du code et du journal de travail selon entretien avec chef de projet</t>
  </si>
  <si>
    <t>écriture du code, passage de html à php, page index termine, travail sur les pages free.php, free-problem.php et five.php</t>
  </si>
  <si>
    <t>Avancée sur le code, travail sur les pages five.php, free.php, free-problem.php et début du travail sur free-result.php, suppression de code css dans main.css pour mieux convenir à mes besoins</t>
  </si>
  <si>
    <t>Avancée sur le code, travail sur l'affichage et le calcul d'un timer entre les pages free-problem.php et free-result.php</t>
  </si>
  <si>
    <t>mode libre fonctionnel, le code nécessaire au bon fonctionnement du mode est terminé.</t>
  </si>
  <si>
    <t xml:space="preserve">Recherches sur comment lire et modifier un CSV, création du csv </t>
  </si>
  <si>
    <t>Code de la page five-problem.php et five-result.php fonctionnel (manque toujours l'utilisation du CSV)</t>
  </si>
  <si>
    <t>Début de création des maquettes mobiles</t>
  </si>
  <si>
    <t>Entretien avec expert Laurent Ruchat</t>
  </si>
  <si>
    <t>Écriture de la stratégie de test</t>
  </si>
  <si>
    <t>Fin de la création des maquettes mobiles et intégration dans la doc et quelques changement dans le code par rapport aux nouvelles maquettes (principalement du texte)</t>
  </si>
  <si>
    <t>Tentative de compréhension du fonctionnement du CSV en testant directement avec le site en écrivant le code en fonction</t>
  </si>
  <si>
    <t>L'enregistrement des résultats dans le CSV est maintenant entièrement fonctionnel</t>
  </si>
  <si>
    <t>Révision et compréhension du MCD avec Mr. Carrel</t>
  </si>
  <si>
    <t>Écriture de la premier particularité (document.write) et du dossier de réalisation</t>
  </si>
  <si>
    <t>Correction du code pour que l'enregistrement CSV de five-result se fasse correctement.</t>
  </si>
  <si>
    <t>suppression de la première particularité de la doc car après tests, document.write ne fonctionnait pas du tout.</t>
  </si>
  <si>
    <t>Prise de temps majeure sur la compréhension de l'utilisation des CSV                              Création d'un MCD via aide de Mr. Carrel a aider grandement à la compréhension</t>
  </si>
  <si>
    <t>Étude du fonctionnement des CSV avec php toujours en cours</t>
  </si>
  <si>
    <t>Problèmes de compréhensions du fonctionnement des CSV avec php</t>
  </si>
  <si>
    <t>CSV manquant</t>
  </si>
  <si>
    <t>Discussion avec chef de projet a résulté au choix de cookies plutôt que de sessions</t>
  </si>
  <si>
    <t>Problème d'exécution des fonctions causé par raisons inconnues                                         Implémentation d'un nouveau système fonctionnel</t>
  </si>
  <si>
    <t xml:space="preserve">Création  de l'ensemble des uses cases/scénarios </t>
  </si>
  <si>
    <t>Création des maquettes du site pour format PC</t>
  </si>
  <si>
    <t>Tests de lecture du CSV pour l'intégration dans stats.php</t>
  </si>
  <si>
    <t>Ecriture de la particularité 1, création du MLD et écriture des spécifications, écritures des risques potentiels et écriture de compléments d'informations à la stratégie de tests.</t>
  </si>
  <si>
    <t>Correction du MLD, des risques potentiels et de la stratégie de test selon entretient avec chef de projet</t>
  </si>
  <si>
    <t>Avancée sur le code stats.php, peut maintenant dire le nombre de justes et de faux pour l'utilisateur</t>
  </si>
  <si>
    <t>Avancée sur le code stats.php</t>
  </si>
  <si>
    <t>Changement du système de traitements de données lu pour in_array</t>
  </si>
  <si>
    <t>stats.php terminé, fonctionne comme prévu</t>
  </si>
  <si>
    <t xml:space="preserve">Mise en ligne du site et légères corrections sur le code de five-problem.php et five-result.php pour que cela fonctionne correctement en ligne </t>
  </si>
  <si>
    <t>changement de local à en ligne trouvable dans les commentaires du code</t>
  </si>
  <si>
    <t>Discussion avec le chef de projet au sujet de l'avancée de ma documentation et modifications en conséquence</t>
  </si>
  <si>
    <t>Avancé dans la doc, planification, dossier de conception, particularité 2,  réalisation, description test effectués, erreurs restantes, conclusion.</t>
  </si>
  <si>
    <t>Avancé dans la doc, création du manuel d'installation, création du manuel d'utilisation et quelques modifications de texte</t>
  </si>
  <si>
    <t>Création du resumé de rapport TPI</t>
  </si>
  <si>
    <t>Ecriture de la partie archives</t>
  </si>
  <si>
    <t>Révision personnelle de la doc pour trouver des modifications à effectuer</t>
  </si>
  <si>
    <t>Demande d'ajout de plusieurs fonctions sur l'app                                                                       Toutes ajoutées sauf le fait de se souvenir de la page sur laquelle on était avant d'aller aux statistiques (nécessiterait plusieurs heures de travail pour être 100% fonctionnel)</t>
  </si>
  <si>
    <t>Ajout d'un bouton statistiques sur toutes les pages sauf stats.php et index.php, ajout du bouton pour reset les stats sur stats.php, ajout du pourcentage de bonnes réponses globales sur stats.php, ajout du pourcentage de bonnes réponses pour mode libre et 5 secondes sur stats.php</t>
  </si>
  <si>
    <t>Correction de la doc selon discussion avec chef de projet</t>
  </si>
  <si>
    <t>Ajout d'une fonction permettant de rediriger sur la page de laquelle on a cliqué sur "Statistiques" sur stats.php</t>
  </si>
  <si>
    <t>Discussion avec le chef de projet sur ce qu'il faut revoir dans la doc</t>
  </si>
  <si>
    <t>Revue des parties demandées par le chef de projet et mise en page de toute la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</si>
</sst>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5">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bottom/>
      <diagonal/>
    </border>
    <border>
      <left style="thin">
        <color auto="1"/>
      </left>
      <right style="thin">
        <color auto="1"/>
      </right>
      <top/>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s>
  <cellStyleXfs count="1">
    <xf numFmtId="0" fontId="0" fillId="0" borderId="0"/>
  </cellStyleXfs>
  <cellXfs count="1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wrapText="1"/>
    </xf>
    <xf numFmtId="1" fontId="0" fillId="0" borderId="2" xfId="0" applyNumberFormat="1" applyBorder="1" applyAlignment="1" applyProtection="1">
      <alignment horizontal="center" vertical="center"/>
    </xf>
    <xf numFmtId="2"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 xfId="0" applyBorder="1" applyAlignment="1">
      <alignment wrapText="1"/>
    </xf>
    <xf numFmtId="14" fontId="0" fillId="0" borderId="6" xfId="0" applyNumberFormat="1" applyBorder="1"/>
    <xf numFmtId="0" fontId="0" fillId="0" borderId="7" xfId="0" applyBorder="1" applyAlignment="1" applyProtection="1">
      <alignment horizontal="left" vertical="center" wrapText="1"/>
      <protection locked="0"/>
    </xf>
    <xf numFmtId="14" fontId="0" fillId="0" borderId="8" xfId="0" applyNumberFormat="1" applyBorder="1"/>
    <xf numFmtId="1" fontId="0" fillId="0" borderId="9" xfId="0" applyNumberFormat="1" applyBorder="1" applyAlignment="1" applyProtection="1">
      <alignment horizontal="center" vertical="center"/>
    </xf>
    <xf numFmtId="2" fontId="0" fillId="0" borderId="9" xfId="0" applyNumberFormat="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lignment wrapText="1"/>
    </xf>
    <xf numFmtId="0" fontId="0" fillId="0" borderId="10" xfId="0" applyBorder="1" applyAlignment="1" applyProtection="1">
      <alignment horizontal="left" vertical="center" wrapText="1"/>
      <protection locked="0"/>
    </xf>
    <xf numFmtId="14" fontId="0" fillId="0" borderId="11" xfId="0" applyNumberFormat="1" applyBorder="1"/>
    <xf numFmtId="1" fontId="0" fillId="0" borderId="12" xfId="0" applyNumberFormat="1" applyBorder="1" applyAlignment="1" applyProtection="1">
      <alignment horizontal="center" vertical="center"/>
    </xf>
    <xf numFmtId="2" fontId="0" fillId="0" borderId="12" xfId="0" applyNumberForma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2" xfId="0" applyBorder="1" applyAlignment="1">
      <alignment wrapText="1"/>
    </xf>
    <xf numFmtId="0" fontId="0" fillId="0" borderId="13" xfId="0" applyBorder="1" applyAlignment="1" applyProtection="1">
      <alignment horizontal="left" vertical="center" wrapText="1"/>
      <protection locked="0"/>
    </xf>
    <xf numFmtId="14" fontId="0" fillId="0" borderId="14" xfId="0" applyNumberFormat="1" applyBorder="1"/>
    <xf numFmtId="0" fontId="0" fillId="0" borderId="15" xfId="0" applyBorder="1" applyAlignment="1" applyProtection="1">
      <alignment horizontal="left" vertical="center" wrapText="1"/>
      <protection locked="0"/>
    </xf>
    <xf numFmtId="14" fontId="0" fillId="3" borderId="3" xfId="0" applyNumberFormat="1" applyFill="1" applyBorder="1"/>
    <xf numFmtId="1" fontId="0" fillId="3" borderId="4" xfId="0" applyNumberFormat="1" applyFill="1" applyBorder="1" applyAlignment="1" applyProtection="1">
      <alignment horizontal="center" vertical="center"/>
    </xf>
    <xf numFmtId="2" fontId="0" fillId="3" borderId="4" xfId="0" applyNumberFormat="1"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4" xfId="0" applyFill="1" applyBorder="1" applyAlignment="1">
      <alignment wrapText="1"/>
    </xf>
    <xf numFmtId="0" fontId="0" fillId="3" borderId="5" xfId="0" applyFill="1" applyBorder="1" applyAlignment="1" applyProtection="1">
      <alignment horizontal="left" vertical="center" wrapText="1"/>
      <protection locked="0"/>
    </xf>
    <xf numFmtId="14" fontId="0" fillId="3" borderId="6" xfId="0" applyNumberFormat="1" applyFill="1" applyBorder="1"/>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lignment wrapText="1"/>
    </xf>
    <xf numFmtId="0" fontId="0" fillId="3" borderId="7" xfId="0" applyFill="1" applyBorder="1" applyAlignment="1" applyProtection="1">
      <alignment horizontal="left" vertical="center" wrapText="1"/>
      <protection locked="0"/>
    </xf>
    <xf numFmtId="14" fontId="0" fillId="3" borderId="8" xfId="0" applyNumberFormat="1" applyFill="1" applyBorder="1"/>
    <xf numFmtId="1" fontId="0" fillId="3" borderId="9" xfId="0" applyNumberFormat="1" applyFill="1" applyBorder="1" applyAlignment="1" applyProtection="1">
      <alignment horizontal="center" vertical="center"/>
    </xf>
    <xf numFmtId="2" fontId="0" fillId="3" borderId="9" xfId="0" applyNumberFormat="1" applyFill="1" applyBorder="1" applyAlignment="1" applyProtection="1">
      <alignment horizontal="center" vertical="center"/>
      <protection locked="0"/>
    </xf>
    <xf numFmtId="0" fontId="0" fillId="3" borderId="9" xfId="0" applyFill="1" applyBorder="1" applyAlignment="1" applyProtection="1">
      <alignment horizontal="center" vertical="center"/>
      <protection locked="0"/>
    </xf>
    <xf numFmtId="0" fontId="0" fillId="3" borderId="9" xfId="0" applyFill="1" applyBorder="1" applyAlignment="1">
      <alignment wrapText="1"/>
    </xf>
    <xf numFmtId="0" fontId="0" fillId="3" borderId="10" xfId="0" applyFill="1" applyBorder="1" applyAlignment="1" applyProtection="1">
      <alignment horizontal="left" vertical="center" wrapText="1"/>
      <protection locked="0"/>
    </xf>
    <xf numFmtId="14" fontId="0" fillId="0" borderId="16" xfId="0" applyNumberFormat="1" applyBorder="1"/>
    <xf numFmtId="1" fontId="0" fillId="0" borderId="17" xfId="0" applyNumberFormat="1" applyBorder="1" applyAlignment="1" applyProtection="1">
      <alignment horizontal="center" vertical="center"/>
    </xf>
    <xf numFmtId="2"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lignment wrapText="1"/>
    </xf>
    <xf numFmtId="0" fontId="0" fillId="0" borderId="18" xfId="0" applyBorder="1" applyAlignment="1" applyProtection="1">
      <alignment horizontal="left" vertical="center" wrapText="1"/>
      <protection locked="0"/>
    </xf>
    <xf numFmtId="14" fontId="0" fillId="3" borderId="11" xfId="0" applyNumberFormat="1" applyFill="1" applyBorder="1"/>
    <xf numFmtId="1" fontId="0" fillId="3" borderId="12" xfId="0" applyNumberFormat="1" applyFill="1" applyBorder="1" applyAlignment="1" applyProtection="1">
      <alignment horizontal="center" vertical="center"/>
    </xf>
    <xf numFmtId="2" fontId="0" fillId="3" borderId="12" xfId="0" applyNumberFormat="1" applyFill="1" applyBorder="1" applyAlignment="1" applyProtection="1">
      <alignment horizontal="center" vertical="center"/>
      <protection locked="0"/>
    </xf>
    <xf numFmtId="0" fontId="0" fillId="3" borderId="12" xfId="0" applyFill="1" applyBorder="1" applyAlignment="1" applyProtection="1">
      <alignment horizontal="center" vertical="center"/>
      <protection locked="0"/>
    </xf>
    <xf numFmtId="0" fontId="0" fillId="3" borderId="12" xfId="0" applyFill="1" applyBorder="1" applyAlignment="1">
      <alignment wrapText="1"/>
    </xf>
    <xf numFmtId="0" fontId="0" fillId="3" borderId="13" xfId="0" applyFill="1" applyBorder="1" applyAlignment="1" applyProtection="1">
      <alignment horizontal="left" vertical="center" wrapText="1"/>
      <protection locked="0"/>
    </xf>
    <xf numFmtId="14" fontId="0" fillId="3" borderId="14" xfId="0" applyNumberFormat="1" applyFill="1" applyBorder="1"/>
    <xf numFmtId="1" fontId="0" fillId="3" borderId="2" xfId="0" applyNumberFormat="1" applyFill="1" applyBorder="1" applyAlignment="1" applyProtection="1">
      <alignment horizontal="center" vertical="center"/>
    </xf>
    <xf numFmtId="2" fontId="0" fillId="3" borderId="2" xfId="0" applyNumberFormat="1" applyFill="1" applyBorder="1" applyAlignment="1" applyProtection="1">
      <alignment horizontal="center" vertical="center"/>
      <protection locked="0"/>
    </xf>
    <xf numFmtId="0" fontId="0" fillId="3" borderId="2" xfId="0" applyFill="1" applyBorder="1" applyAlignment="1" applyProtection="1">
      <alignment horizontal="center" vertical="center"/>
      <protection locked="0"/>
    </xf>
    <xf numFmtId="0" fontId="0" fillId="3" borderId="2" xfId="0" applyFill="1" applyBorder="1" applyAlignment="1">
      <alignment wrapText="1"/>
    </xf>
    <xf numFmtId="0" fontId="0" fillId="3" borderId="15" xfId="0" applyFill="1" applyBorder="1" applyAlignment="1" applyProtection="1">
      <alignment horizontal="left" vertical="center" wrapText="1"/>
      <protection locked="0"/>
    </xf>
    <xf numFmtId="1" fontId="0" fillId="4" borderId="2" xfId="0" applyNumberFormat="1" applyFill="1" applyBorder="1" applyAlignment="1" applyProtection="1">
      <alignment horizontal="center" vertical="center"/>
    </xf>
    <xf numFmtId="2" fontId="0" fillId="4" borderId="2" xfId="0" applyNumberFormat="1" applyFill="1" applyBorder="1" applyAlignment="1" applyProtection="1">
      <alignment horizontal="center" vertical="center"/>
      <protection locked="0"/>
    </xf>
    <xf numFmtId="0" fontId="0" fillId="4" borderId="2" xfId="0" applyFill="1" applyBorder="1" applyAlignment="1" applyProtection="1">
      <alignment horizontal="center" vertical="center"/>
      <protection locked="0"/>
    </xf>
    <xf numFmtId="0" fontId="0" fillId="4" borderId="2" xfId="0" applyFill="1" applyBorder="1" applyAlignment="1">
      <alignment wrapText="1"/>
    </xf>
    <xf numFmtId="14" fontId="0" fillId="4" borderId="14" xfId="0" applyNumberFormat="1" applyFill="1" applyBorder="1"/>
    <xf numFmtId="0" fontId="0" fillId="4" borderId="15" xfId="0" applyFill="1" applyBorder="1" applyAlignment="1" applyProtection="1">
      <alignment horizontal="left" vertical="center" wrapText="1"/>
      <protection locked="0"/>
    </xf>
    <xf numFmtId="14" fontId="0" fillId="4" borderId="8" xfId="0" applyNumberFormat="1" applyFill="1" applyBorder="1"/>
    <xf numFmtId="1" fontId="0" fillId="4" borderId="9" xfId="0" applyNumberFormat="1" applyFill="1" applyBorder="1" applyAlignment="1" applyProtection="1">
      <alignment horizontal="center" vertical="center"/>
    </xf>
    <xf numFmtId="2" fontId="0" fillId="4" borderId="9" xfId="0" applyNumberFormat="1" applyFill="1" applyBorder="1" applyAlignment="1" applyProtection="1">
      <alignment horizontal="center" vertical="center"/>
      <protection locked="0"/>
    </xf>
    <xf numFmtId="0" fontId="0" fillId="4" borderId="9" xfId="0" applyFill="1" applyBorder="1" applyAlignment="1" applyProtection="1">
      <alignment horizontal="center" vertical="center"/>
      <protection locked="0"/>
    </xf>
    <xf numFmtId="0" fontId="0" fillId="4" borderId="9" xfId="0" applyFill="1" applyBorder="1" applyAlignment="1">
      <alignment wrapText="1"/>
    </xf>
    <xf numFmtId="0" fontId="0" fillId="4" borderId="10" xfId="0" applyFill="1" applyBorder="1" applyAlignment="1" applyProtection="1">
      <alignment horizontal="left" vertical="center" wrapText="1"/>
      <protection locked="0"/>
    </xf>
    <xf numFmtId="14" fontId="0" fillId="4" borderId="19" xfId="0" applyNumberFormat="1" applyFill="1" applyBorder="1"/>
    <xf numFmtId="1" fontId="0" fillId="4" borderId="20" xfId="0" applyNumberFormat="1" applyFill="1" applyBorder="1" applyAlignment="1" applyProtection="1">
      <alignment horizontal="center" vertical="center"/>
    </xf>
    <xf numFmtId="2" fontId="0" fillId="4" borderId="20" xfId="0" applyNumberFormat="1"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20" xfId="0" applyFill="1" applyBorder="1" applyAlignment="1">
      <alignment wrapText="1"/>
    </xf>
    <xf numFmtId="0" fontId="0" fillId="4" borderId="2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lignment wrapText="1"/>
    </xf>
    <xf numFmtId="14" fontId="0" fillId="4" borderId="6" xfId="0" applyNumberFormat="1" applyFill="1" applyBorder="1"/>
    <xf numFmtId="0" fontId="0" fillId="4" borderId="7" xfId="0" applyFill="1" applyBorder="1" applyAlignment="1" applyProtection="1">
      <alignment horizontal="left" vertical="center" wrapText="1"/>
      <protection locked="0"/>
    </xf>
    <xf numFmtId="14" fontId="0" fillId="4" borderId="16" xfId="0" applyNumberFormat="1" applyFill="1" applyBorder="1"/>
    <xf numFmtId="1" fontId="0" fillId="4" borderId="17" xfId="0" applyNumberFormat="1" applyFill="1" applyBorder="1" applyAlignment="1" applyProtection="1">
      <alignment horizontal="center" vertical="center"/>
    </xf>
    <xf numFmtId="2" fontId="0" fillId="4" borderId="17" xfId="0" applyNumberFormat="1" applyFill="1" applyBorder="1" applyAlignment="1" applyProtection="1">
      <alignment horizontal="center" vertical="center"/>
      <protection locked="0"/>
    </xf>
    <xf numFmtId="0" fontId="0" fillId="4" borderId="17" xfId="0" applyFill="1" applyBorder="1" applyAlignment="1" applyProtection="1">
      <alignment horizontal="center" vertical="center"/>
      <protection locked="0"/>
    </xf>
    <xf numFmtId="0" fontId="0" fillId="4" borderId="17" xfId="0" applyFill="1" applyBorder="1" applyAlignment="1">
      <alignment wrapText="1"/>
    </xf>
    <xf numFmtId="0" fontId="0" fillId="4" borderId="18" xfId="0" applyFill="1" applyBorder="1" applyAlignment="1" applyProtection="1">
      <alignment horizontal="left" vertical="center" wrapText="1"/>
      <protection locked="0"/>
    </xf>
    <xf numFmtId="14" fontId="0" fillId="4" borderId="3" xfId="0" applyNumberFormat="1" applyFill="1" applyBorder="1"/>
    <xf numFmtId="1" fontId="0" fillId="4" borderId="4" xfId="0" applyNumberFormat="1" applyFill="1" applyBorder="1" applyAlignment="1" applyProtection="1">
      <alignment horizontal="center" vertical="center"/>
    </xf>
    <xf numFmtId="2" fontId="0" fillId="4" borderId="4" xfId="0" applyNumberFormat="1" applyFill="1" applyBorder="1" applyAlignment="1" applyProtection="1">
      <alignment horizontal="center" vertical="center"/>
      <protection locked="0"/>
    </xf>
    <xf numFmtId="0" fontId="0" fillId="4" borderId="4" xfId="0" applyFill="1" applyBorder="1" applyAlignment="1" applyProtection="1">
      <alignment horizontal="center" vertical="center"/>
      <protection locked="0"/>
    </xf>
    <xf numFmtId="0" fontId="0" fillId="4" borderId="4" xfId="0" applyFill="1" applyBorder="1" applyAlignment="1">
      <alignment wrapText="1"/>
    </xf>
    <xf numFmtId="0" fontId="0" fillId="4" borderId="5" xfId="0" applyFill="1" applyBorder="1" applyAlignment="1" applyProtection="1">
      <alignment horizontal="left" vertical="center" wrapText="1"/>
      <protection locked="0"/>
    </xf>
    <xf numFmtId="14" fontId="0" fillId="3" borderId="16" xfId="0" applyNumberFormat="1" applyFill="1" applyBorder="1"/>
    <xf numFmtId="1" fontId="0" fillId="3" borderId="17" xfId="0" applyNumberFormat="1" applyFill="1" applyBorder="1" applyAlignment="1" applyProtection="1">
      <alignment horizontal="center" vertical="center"/>
    </xf>
    <xf numFmtId="2" fontId="0" fillId="3" borderId="17" xfId="0" applyNumberFormat="1" applyFill="1" applyBorder="1" applyAlignment="1" applyProtection="1">
      <alignment horizontal="center" vertical="center"/>
      <protection locked="0"/>
    </xf>
    <xf numFmtId="0" fontId="0" fillId="3" borderId="17" xfId="0" applyFill="1" applyBorder="1" applyAlignment="1" applyProtection="1">
      <alignment horizontal="center" vertical="center"/>
      <protection locked="0"/>
    </xf>
    <xf numFmtId="0" fontId="0" fillId="3" borderId="17" xfId="0" applyFill="1" applyBorder="1" applyAlignment="1">
      <alignment wrapText="1"/>
    </xf>
    <xf numFmtId="0" fontId="0" fillId="3" borderId="18" xfId="0" applyFill="1" applyBorder="1" applyAlignment="1" applyProtection="1">
      <alignment horizontal="left" vertical="center" wrapText="1"/>
      <protection locked="0"/>
    </xf>
    <xf numFmtId="14" fontId="0" fillId="3" borderId="22" xfId="0" applyNumberFormat="1" applyFill="1" applyBorder="1"/>
    <xf numFmtId="1" fontId="0" fillId="3" borderId="23" xfId="0" applyNumberFormat="1" applyFill="1" applyBorder="1" applyAlignment="1" applyProtection="1">
      <alignment horizontal="center" vertical="center"/>
    </xf>
    <xf numFmtId="2" fontId="0" fillId="3" borderId="23" xfId="0" applyNumberFormat="1" applyFill="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0" fillId="3" borderId="23" xfId="0" applyFill="1" applyBorder="1" applyAlignment="1">
      <alignment wrapText="1"/>
    </xf>
    <xf numFmtId="0" fontId="0" fillId="3" borderId="24" xfId="0" applyFill="1" applyBorder="1" applyAlignment="1" applyProtection="1">
      <alignment horizontal="left" vertical="center" wrapText="1"/>
      <protection locked="0"/>
    </xf>
    <xf numFmtId="14" fontId="0" fillId="4" borderId="22" xfId="0" applyNumberFormat="1" applyFill="1" applyBorder="1"/>
    <xf numFmtId="1" fontId="0" fillId="4" borderId="23" xfId="0" applyNumberFormat="1" applyFill="1" applyBorder="1" applyAlignment="1" applyProtection="1">
      <alignment horizontal="center" vertical="center"/>
    </xf>
    <xf numFmtId="2" fontId="0" fillId="4" borderId="23" xfId="0" applyNumberFormat="1" applyFill="1" applyBorder="1" applyAlignment="1" applyProtection="1">
      <alignment horizontal="center" vertical="center"/>
      <protection locked="0"/>
    </xf>
    <xf numFmtId="0" fontId="0" fillId="4" borderId="23" xfId="0" applyFill="1" applyBorder="1" applyAlignment="1" applyProtection="1">
      <alignment horizontal="center" vertical="center"/>
      <protection locked="0"/>
    </xf>
    <xf numFmtId="0" fontId="0" fillId="4" borderId="23" xfId="0" applyFill="1" applyBorder="1" applyAlignment="1">
      <alignment wrapText="1"/>
    </xf>
    <xf numFmtId="0" fontId="0" fillId="4" borderId="24" xfId="0" applyFill="1" applyBorder="1" applyAlignment="1" applyProtection="1">
      <alignment horizontal="left" vertical="center" wrapText="1"/>
      <protection locked="0"/>
    </xf>
    <xf numFmtId="0" fontId="1" fillId="2" borderId="11" xfId="0" applyFont="1" applyFill="1" applyBorder="1" applyAlignment="1" applyProtection="1">
      <alignment horizontal="center" vertical="center"/>
      <protection locked="0"/>
    </xf>
    <xf numFmtId="1" fontId="1" fillId="2" borderId="12"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3"/>
  <sheetViews>
    <sheetView tabSelected="1" workbookViewId="0">
      <selection sqref="A1:F53"/>
    </sheetView>
  </sheetViews>
  <sheetFormatPr baseColWidth="10" defaultColWidth="9.140625" defaultRowHeight="15" x14ac:dyDescent="0.25"/>
  <cols>
    <col min="1" max="1" width="10.140625" style="3" bestFit="1" customWidth="1"/>
    <col min="2" max="2" width="9.28515625" style="11" bestFit="1" customWidth="1"/>
    <col min="3" max="3" width="10.5703125" style="8" bestFit="1" customWidth="1"/>
    <col min="4" max="4" width="14.7109375" style="3" bestFit="1" customWidth="1"/>
    <col min="5" max="5" width="84.85546875" style="9" bestFit="1" customWidth="1"/>
    <col min="6" max="6" width="75.140625" style="9" customWidth="1"/>
    <col min="7" max="16384" width="9.140625" style="4"/>
  </cols>
  <sheetData>
    <row r="1" spans="1:9" ht="24" customHeight="1" thickBot="1" x14ac:dyDescent="0.3">
      <c r="A1" s="123" t="s">
        <v>2</v>
      </c>
      <c r="B1" s="124" t="s">
        <v>11</v>
      </c>
      <c r="C1" s="125" t="s">
        <v>3</v>
      </c>
      <c r="D1" s="126" t="s">
        <v>4</v>
      </c>
      <c r="E1" s="127" t="s">
        <v>0</v>
      </c>
      <c r="F1" s="128" t="s">
        <v>1</v>
      </c>
    </row>
    <row r="2" spans="1:9" x14ac:dyDescent="0.25">
      <c r="A2" s="57">
        <v>43257</v>
      </c>
      <c r="B2" s="58">
        <f t="shared" ref="B2" si="0">WEEKNUM(A2)</f>
        <v>23</v>
      </c>
      <c r="C2" s="59">
        <v>0.75</v>
      </c>
      <c r="D2" s="60" t="s">
        <v>9</v>
      </c>
      <c r="E2" s="61" t="s">
        <v>69</v>
      </c>
      <c r="F2" s="62"/>
      <c r="I2" s="7"/>
    </row>
    <row r="3" spans="1:9" x14ac:dyDescent="0.25">
      <c r="A3" s="63">
        <v>43257</v>
      </c>
      <c r="B3" s="64">
        <f t="shared" ref="B3" si="1">WEEKNUM(A3)</f>
        <v>23</v>
      </c>
      <c r="C3" s="65">
        <v>0.75</v>
      </c>
      <c r="D3" s="66" t="s">
        <v>6</v>
      </c>
      <c r="E3" s="67" t="s">
        <v>68</v>
      </c>
      <c r="F3" s="68"/>
      <c r="I3" s="7"/>
    </row>
    <row r="4" spans="1:9" ht="30.75" thickBot="1" x14ac:dyDescent="0.3">
      <c r="A4" s="45">
        <v>43257</v>
      </c>
      <c r="B4" s="46">
        <f t="shared" ref="B4" si="2">WEEKNUM(A4)</f>
        <v>23</v>
      </c>
      <c r="C4" s="47">
        <v>0.75</v>
      </c>
      <c r="D4" s="48" t="s">
        <v>7</v>
      </c>
      <c r="E4" s="49" t="s">
        <v>67</v>
      </c>
      <c r="F4" s="50"/>
      <c r="I4" s="7"/>
    </row>
    <row r="5" spans="1:9" x14ac:dyDescent="0.25">
      <c r="A5" s="99">
        <v>43256</v>
      </c>
      <c r="B5" s="100">
        <f t="shared" ref="B5" si="3">WEEKNUM(A5)</f>
        <v>23</v>
      </c>
      <c r="C5" s="101">
        <v>0.75</v>
      </c>
      <c r="D5" s="102" t="s">
        <v>9</v>
      </c>
      <c r="E5" s="103" t="s">
        <v>66</v>
      </c>
      <c r="F5" s="104"/>
      <c r="I5" s="7"/>
    </row>
    <row r="6" spans="1:9" ht="60" x14ac:dyDescent="0.25">
      <c r="A6" s="91">
        <v>43256</v>
      </c>
      <c r="B6" s="87">
        <f t="shared" ref="B6" si="4">WEEKNUM(A6)</f>
        <v>23</v>
      </c>
      <c r="C6" s="88">
        <v>1.5</v>
      </c>
      <c r="D6" s="89" t="s">
        <v>7</v>
      </c>
      <c r="E6" s="90" t="s">
        <v>65</v>
      </c>
      <c r="F6" s="92"/>
      <c r="I6" s="7"/>
    </row>
    <row r="7" spans="1:9" ht="60" x14ac:dyDescent="0.25">
      <c r="A7" s="91">
        <v>43256</v>
      </c>
      <c r="B7" s="87">
        <f t="shared" ref="B7" si="5">WEEKNUM(A7)</f>
        <v>23</v>
      </c>
      <c r="C7" s="88">
        <v>0.75</v>
      </c>
      <c r="D7" s="89" t="s">
        <v>6</v>
      </c>
      <c r="E7" s="90" t="s">
        <v>22</v>
      </c>
      <c r="F7" s="92" t="s">
        <v>64</v>
      </c>
      <c r="I7" s="7"/>
    </row>
    <row r="8" spans="1:9" x14ac:dyDescent="0.25">
      <c r="A8" s="91">
        <v>43256</v>
      </c>
      <c r="B8" s="87">
        <f t="shared" ref="B8" si="6">WEEKNUM(A8)</f>
        <v>23</v>
      </c>
      <c r="C8" s="88">
        <v>2.25</v>
      </c>
      <c r="D8" s="89" t="s">
        <v>9</v>
      </c>
      <c r="E8" s="90" t="s">
        <v>63</v>
      </c>
      <c r="F8" s="92"/>
      <c r="I8" s="7"/>
    </row>
    <row r="9" spans="1:9" ht="15.75" thickBot="1" x14ac:dyDescent="0.3">
      <c r="A9" s="75">
        <v>43256</v>
      </c>
      <c r="B9" s="76">
        <f t="shared" ref="B9" si="7">WEEKNUM(A9)</f>
        <v>23</v>
      </c>
      <c r="C9" s="77">
        <v>0.75</v>
      </c>
      <c r="D9" s="78" t="s">
        <v>9</v>
      </c>
      <c r="E9" s="79" t="s">
        <v>62</v>
      </c>
      <c r="F9" s="80"/>
      <c r="I9" s="7"/>
    </row>
    <row r="10" spans="1:9" x14ac:dyDescent="0.25">
      <c r="A10" s="33">
        <v>43252</v>
      </c>
      <c r="B10" s="34">
        <f t="shared" ref="B10" si="8">WEEKNUM(A10)</f>
        <v>22</v>
      </c>
      <c r="C10" s="35">
        <v>1.5</v>
      </c>
      <c r="D10" s="36" t="s">
        <v>9</v>
      </c>
      <c r="E10" s="37" t="s">
        <v>61</v>
      </c>
      <c r="F10" s="38"/>
      <c r="I10" s="7"/>
    </row>
    <row r="11" spans="1:9" ht="30.75" thickBot="1" x14ac:dyDescent="0.3">
      <c r="A11" s="45">
        <v>43252</v>
      </c>
      <c r="B11" s="46">
        <f t="shared" ref="B11" si="9">WEEKNUM(A11)</f>
        <v>22</v>
      </c>
      <c r="C11" s="47">
        <v>3.75</v>
      </c>
      <c r="D11" s="48" t="s">
        <v>9</v>
      </c>
      <c r="E11" s="49" t="s">
        <v>60</v>
      </c>
      <c r="F11" s="50"/>
      <c r="I11" s="7"/>
    </row>
    <row r="12" spans="1:9" ht="30" x14ac:dyDescent="0.25">
      <c r="A12" s="93">
        <v>43251</v>
      </c>
      <c r="B12" s="94">
        <f t="shared" ref="B12" si="10">WEEKNUM(A12)</f>
        <v>22</v>
      </c>
      <c r="C12" s="95">
        <v>3</v>
      </c>
      <c r="D12" s="96" t="s">
        <v>9</v>
      </c>
      <c r="E12" s="97" t="s">
        <v>59</v>
      </c>
      <c r="F12" s="98"/>
      <c r="I12" s="7"/>
    </row>
    <row r="13" spans="1:9" ht="30" x14ac:dyDescent="0.25">
      <c r="A13" s="91">
        <v>43251</v>
      </c>
      <c r="B13" s="87">
        <f t="shared" ref="B13" si="11">WEEKNUM(A13)</f>
        <v>22</v>
      </c>
      <c r="C13" s="88">
        <v>1.5</v>
      </c>
      <c r="D13" s="89" t="s">
        <v>7</v>
      </c>
      <c r="E13" s="90" t="s">
        <v>56</v>
      </c>
      <c r="F13" s="92" t="s">
        <v>57</v>
      </c>
      <c r="I13" s="7"/>
    </row>
    <row r="14" spans="1:9" ht="15.75" thickBot="1" x14ac:dyDescent="0.3">
      <c r="A14" s="75">
        <v>43251</v>
      </c>
      <c r="B14" s="76">
        <f t="shared" ref="B14" si="12">WEEKNUM(A14)</f>
        <v>22</v>
      </c>
      <c r="C14" s="77">
        <v>3</v>
      </c>
      <c r="D14" s="78" t="s">
        <v>7</v>
      </c>
      <c r="E14" s="79" t="s">
        <v>55</v>
      </c>
      <c r="F14" s="80"/>
      <c r="I14" s="7"/>
    </row>
    <row r="15" spans="1:9" x14ac:dyDescent="0.25">
      <c r="A15" s="33">
        <v>43250</v>
      </c>
      <c r="B15" s="34">
        <f t="shared" ref="B15" si="13">WEEKNUM(A15)</f>
        <v>22</v>
      </c>
      <c r="C15" s="35">
        <v>2.25</v>
      </c>
      <c r="D15" s="36" t="s">
        <v>7</v>
      </c>
      <c r="E15" s="37" t="s">
        <v>53</v>
      </c>
      <c r="F15" s="38" t="s">
        <v>54</v>
      </c>
      <c r="I15" s="7"/>
    </row>
    <row r="16" spans="1:9" ht="30.75" thickBot="1" x14ac:dyDescent="0.3">
      <c r="A16" s="111">
        <v>43250</v>
      </c>
      <c r="B16" s="112">
        <f t="shared" ref="B16" si="14">WEEKNUM(A16)</f>
        <v>22</v>
      </c>
      <c r="C16" s="113">
        <v>1.5</v>
      </c>
      <c r="D16" s="114" t="s">
        <v>6</v>
      </c>
      <c r="E16" s="115" t="s">
        <v>58</v>
      </c>
      <c r="F16" s="116"/>
      <c r="I16" s="7"/>
    </row>
    <row r="17" spans="1:9" ht="30" x14ac:dyDescent="0.25">
      <c r="A17" s="99">
        <v>43249</v>
      </c>
      <c r="B17" s="100">
        <f t="shared" ref="B17" si="15">WEEKNUM(A17)</f>
        <v>22</v>
      </c>
      <c r="C17" s="101">
        <v>2.25</v>
      </c>
      <c r="D17" s="102" t="s">
        <v>7</v>
      </c>
      <c r="E17" s="103" t="s">
        <v>52</v>
      </c>
      <c r="F17" s="104"/>
      <c r="I17" s="7"/>
    </row>
    <row r="18" spans="1:9" ht="30" x14ac:dyDescent="0.25">
      <c r="A18" s="93">
        <v>43250</v>
      </c>
      <c r="B18" s="94">
        <f t="shared" ref="B18" si="16">WEEKNUM(A18)</f>
        <v>22</v>
      </c>
      <c r="C18" s="95">
        <v>0.75</v>
      </c>
      <c r="D18" s="96" t="s">
        <v>9</v>
      </c>
      <c r="E18" s="97" t="s">
        <v>51</v>
      </c>
      <c r="F18" s="98"/>
      <c r="I18" s="7"/>
    </row>
    <row r="19" spans="1:9" ht="15.75" thickBot="1" x14ac:dyDescent="0.3">
      <c r="A19" s="117">
        <v>43250</v>
      </c>
      <c r="B19" s="118">
        <f t="shared" ref="B19" si="17">WEEKNUM(A19)</f>
        <v>22</v>
      </c>
      <c r="C19" s="119">
        <v>0.75</v>
      </c>
      <c r="D19" s="120" t="s">
        <v>6</v>
      </c>
      <c r="E19" s="121" t="s">
        <v>22</v>
      </c>
      <c r="F19" s="122"/>
      <c r="I19" s="7"/>
    </row>
    <row r="20" spans="1:9" x14ac:dyDescent="0.25">
      <c r="A20" s="33">
        <v>43249</v>
      </c>
      <c r="B20" s="34">
        <f t="shared" ref="B20" si="18">WEEKNUM(A20)</f>
        <v>22</v>
      </c>
      <c r="C20" s="35">
        <v>1.5</v>
      </c>
      <c r="D20" s="36" t="s">
        <v>7</v>
      </c>
      <c r="E20" s="37" t="s">
        <v>49</v>
      </c>
      <c r="F20" s="38"/>
      <c r="I20" s="7"/>
    </row>
    <row r="21" spans="1:9" x14ac:dyDescent="0.25">
      <c r="A21" s="105">
        <v>43249</v>
      </c>
      <c r="B21" s="106">
        <f t="shared" ref="B21" si="19">WEEKNUM(A21)</f>
        <v>22</v>
      </c>
      <c r="C21" s="107">
        <v>0.75</v>
      </c>
      <c r="D21" s="108" t="s">
        <v>6</v>
      </c>
      <c r="E21" s="109" t="s">
        <v>22</v>
      </c>
      <c r="F21" s="110"/>
      <c r="I21" s="7"/>
    </row>
    <row r="22" spans="1:9" ht="30.75" thickBot="1" x14ac:dyDescent="0.3">
      <c r="A22" s="111">
        <v>43249</v>
      </c>
      <c r="B22" s="112">
        <f t="shared" ref="B22" si="20">WEEKNUM(A22)</f>
        <v>22</v>
      </c>
      <c r="C22" s="113">
        <v>3.75</v>
      </c>
      <c r="D22" s="114" t="s">
        <v>9</v>
      </c>
      <c r="E22" s="115" t="s">
        <v>50</v>
      </c>
      <c r="F22" s="116"/>
      <c r="I22" s="7"/>
    </row>
    <row r="23" spans="1:9" ht="30" x14ac:dyDescent="0.25">
      <c r="A23" s="99">
        <v>43245</v>
      </c>
      <c r="B23" s="100">
        <f t="shared" ref="B23" si="21">WEEKNUM(A23)</f>
        <v>21</v>
      </c>
      <c r="C23" s="101">
        <v>0.75</v>
      </c>
      <c r="D23" s="102" t="s">
        <v>7</v>
      </c>
      <c r="E23" s="103" t="s">
        <v>39</v>
      </c>
      <c r="F23" s="104" t="s">
        <v>46</v>
      </c>
      <c r="I23" s="7"/>
    </row>
    <row r="24" spans="1:9" ht="30" x14ac:dyDescent="0.25">
      <c r="A24" s="91">
        <v>43245</v>
      </c>
      <c r="B24" s="87">
        <f t="shared" ref="B24" si="22">WEEKNUM(A24)</f>
        <v>21</v>
      </c>
      <c r="C24" s="88">
        <v>0.75</v>
      </c>
      <c r="D24" s="89" t="s">
        <v>9</v>
      </c>
      <c r="E24" s="90" t="s">
        <v>40</v>
      </c>
      <c r="F24" s="92"/>
      <c r="I24" s="7"/>
    </row>
    <row r="25" spans="1:9" x14ac:dyDescent="0.25">
      <c r="A25" s="91">
        <v>43245</v>
      </c>
      <c r="B25" s="87">
        <f t="shared" ref="B25" si="23">WEEKNUM(A25)</f>
        <v>21</v>
      </c>
      <c r="C25" s="88">
        <v>1.5</v>
      </c>
      <c r="D25" s="89" t="s">
        <v>9</v>
      </c>
      <c r="E25" s="90" t="s">
        <v>38</v>
      </c>
      <c r="F25" s="92"/>
      <c r="I25" s="7"/>
    </row>
    <row r="26" spans="1:9" ht="30.75" thickBot="1" x14ac:dyDescent="0.3">
      <c r="A26" s="75">
        <v>43245</v>
      </c>
      <c r="B26" s="76">
        <f t="shared" ref="B26" si="24">WEEKNUM(A26)</f>
        <v>21</v>
      </c>
      <c r="C26" s="77">
        <v>2.25</v>
      </c>
      <c r="D26" s="78" t="s">
        <v>7</v>
      </c>
      <c r="E26" s="79" t="s">
        <v>36</v>
      </c>
      <c r="F26" s="80" t="s">
        <v>41</v>
      </c>
      <c r="I26" s="7"/>
    </row>
    <row r="27" spans="1:9" ht="30" x14ac:dyDescent="0.25">
      <c r="A27" s="33">
        <v>43244</v>
      </c>
      <c r="B27" s="34">
        <f>WEEKNUM(A27)</f>
        <v>21</v>
      </c>
      <c r="C27" s="35">
        <v>3</v>
      </c>
      <c r="D27" s="36" t="s">
        <v>6</v>
      </c>
      <c r="E27" s="37" t="s">
        <v>35</v>
      </c>
      <c r="F27" s="38"/>
      <c r="I27" s="7"/>
    </row>
    <row r="28" spans="1:9" x14ac:dyDescent="0.25">
      <c r="A28" s="39">
        <v>43244</v>
      </c>
      <c r="B28" s="40">
        <f>WEEKNUM(A28)</f>
        <v>21</v>
      </c>
      <c r="C28" s="41">
        <v>0.75</v>
      </c>
      <c r="D28" s="42" t="s">
        <v>6</v>
      </c>
      <c r="E28" s="43" t="s">
        <v>37</v>
      </c>
      <c r="F28" s="44"/>
      <c r="I28" s="7"/>
    </row>
    <row r="29" spans="1:9" x14ac:dyDescent="0.25">
      <c r="A29" s="39">
        <v>43244</v>
      </c>
      <c r="B29" s="40">
        <f t="shared" ref="B29" si="25">WEEKNUM(A29)</f>
        <v>21</v>
      </c>
      <c r="C29" s="41">
        <v>1.5</v>
      </c>
      <c r="D29" s="42" t="s">
        <v>9</v>
      </c>
      <c r="E29" s="43" t="s">
        <v>33</v>
      </c>
      <c r="F29" s="44"/>
      <c r="I29" s="7"/>
    </row>
    <row r="30" spans="1:9" ht="30.75" thickBot="1" x14ac:dyDescent="0.3">
      <c r="A30" s="45">
        <v>43244</v>
      </c>
      <c r="B30" s="46">
        <f t="shared" ref="B30" si="26">WEEKNUM(A30)</f>
        <v>21</v>
      </c>
      <c r="C30" s="47">
        <v>1.5</v>
      </c>
      <c r="D30" s="48" t="s">
        <v>9</v>
      </c>
      <c r="E30" s="49" t="s">
        <v>34</v>
      </c>
      <c r="F30" s="50"/>
      <c r="I30" s="7"/>
    </row>
    <row r="31" spans="1:9" x14ac:dyDescent="0.25">
      <c r="A31" s="81">
        <v>43243</v>
      </c>
      <c r="B31" s="82">
        <f t="shared" ref="B31" si="27">WEEKNUM(A31)</f>
        <v>21</v>
      </c>
      <c r="C31" s="83">
        <v>0.75</v>
      </c>
      <c r="D31" s="84" t="s">
        <v>9</v>
      </c>
      <c r="E31" s="85" t="s">
        <v>31</v>
      </c>
      <c r="F31" s="86"/>
      <c r="I31" s="7"/>
    </row>
    <row r="32" spans="1:9" x14ac:dyDescent="0.25">
      <c r="A32" s="73">
        <v>43243</v>
      </c>
      <c r="B32" s="69">
        <f t="shared" ref="B32" si="28">WEEKNUM(A32)</f>
        <v>21</v>
      </c>
      <c r="C32" s="70">
        <v>0.75</v>
      </c>
      <c r="D32" s="71" t="s">
        <v>6</v>
      </c>
      <c r="E32" s="72" t="s">
        <v>32</v>
      </c>
      <c r="F32" s="74"/>
      <c r="I32" s="7"/>
    </row>
    <row r="33" spans="1:9" ht="30.75" thickBot="1" x14ac:dyDescent="0.3">
      <c r="A33" s="75">
        <v>43243</v>
      </c>
      <c r="B33" s="76">
        <f t="shared" ref="B33" si="29">WEEKNUM(A33)</f>
        <v>21</v>
      </c>
      <c r="C33" s="77">
        <v>3</v>
      </c>
      <c r="D33" s="78" t="s">
        <v>7</v>
      </c>
      <c r="E33" s="79" t="s">
        <v>30</v>
      </c>
      <c r="F33" s="80" t="s">
        <v>42</v>
      </c>
      <c r="I33" s="7"/>
    </row>
    <row r="34" spans="1:9" x14ac:dyDescent="0.25">
      <c r="A34" s="57">
        <v>43242</v>
      </c>
      <c r="B34" s="58">
        <f t="shared" ref="B34" si="30">WEEKNUM(A34)</f>
        <v>21</v>
      </c>
      <c r="C34" s="59">
        <v>4.5</v>
      </c>
      <c r="D34" s="60" t="s">
        <v>9</v>
      </c>
      <c r="E34" s="61" t="s">
        <v>24</v>
      </c>
      <c r="F34" s="62"/>
      <c r="I34" s="7"/>
    </row>
    <row r="35" spans="1:9" x14ac:dyDescent="0.25">
      <c r="A35" s="63">
        <v>43242</v>
      </c>
      <c r="B35" s="64">
        <f t="shared" ref="B35" si="31">WEEKNUM(A35)</f>
        <v>21</v>
      </c>
      <c r="C35" s="65">
        <v>0.75</v>
      </c>
      <c r="D35" s="66" t="s">
        <v>6</v>
      </c>
      <c r="E35" s="67" t="s">
        <v>22</v>
      </c>
      <c r="F35" s="68"/>
      <c r="I35" s="7"/>
    </row>
    <row r="36" spans="1:9" ht="30.75" thickBot="1" x14ac:dyDescent="0.3">
      <c r="A36" s="45">
        <v>43242</v>
      </c>
      <c r="B36" s="46">
        <f t="shared" ref="B36" si="32">WEEKNUM(A36)</f>
        <v>21</v>
      </c>
      <c r="C36" s="47">
        <v>0.75</v>
      </c>
      <c r="D36" s="48" t="s">
        <v>6</v>
      </c>
      <c r="E36" s="49" t="s">
        <v>23</v>
      </c>
      <c r="F36" s="50"/>
      <c r="I36" s="7"/>
    </row>
    <row r="37" spans="1:9" x14ac:dyDescent="0.25">
      <c r="A37" s="25">
        <v>43238</v>
      </c>
      <c r="B37" s="26">
        <f t="shared" ref="B37" si="33">WEEKNUM(A37)</f>
        <v>20</v>
      </c>
      <c r="C37" s="27">
        <v>1.5</v>
      </c>
      <c r="D37" s="28" t="s">
        <v>6</v>
      </c>
      <c r="E37" s="29" t="s">
        <v>29</v>
      </c>
      <c r="F37" s="30" t="s">
        <v>43</v>
      </c>
      <c r="I37" s="7"/>
    </row>
    <row r="38" spans="1:9" ht="15.75" thickBot="1" x14ac:dyDescent="0.3">
      <c r="A38" s="19">
        <v>43238</v>
      </c>
      <c r="B38" s="20">
        <f t="shared" ref="B38:B40" si="34">WEEKNUM(A38)</f>
        <v>20</v>
      </c>
      <c r="C38" s="21">
        <v>3.75</v>
      </c>
      <c r="D38" s="22" t="s">
        <v>7</v>
      </c>
      <c r="E38" s="23" t="s">
        <v>28</v>
      </c>
      <c r="F38" s="24" t="s">
        <v>44</v>
      </c>
      <c r="I38" s="7"/>
    </row>
    <row r="39" spans="1:9" ht="30" x14ac:dyDescent="0.25">
      <c r="A39" s="57">
        <v>43237</v>
      </c>
      <c r="B39" s="58">
        <f t="shared" ref="B39" si="35">WEEKNUM(A39)</f>
        <v>20</v>
      </c>
      <c r="C39" s="59">
        <v>3.75</v>
      </c>
      <c r="D39" s="60" t="s">
        <v>7</v>
      </c>
      <c r="E39" s="61" t="s">
        <v>27</v>
      </c>
      <c r="F39" s="62"/>
      <c r="I39" s="7"/>
    </row>
    <row r="40" spans="1:9" x14ac:dyDescent="0.25">
      <c r="A40" s="63">
        <v>43237</v>
      </c>
      <c r="B40" s="64">
        <f t="shared" si="34"/>
        <v>20</v>
      </c>
      <c r="C40" s="65">
        <v>1.5</v>
      </c>
      <c r="D40" s="66" t="s">
        <v>9</v>
      </c>
      <c r="E40" s="67" t="s">
        <v>20</v>
      </c>
      <c r="F40" s="68"/>
      <c r="I40" s="7"/>
    </row>
    <row r="41" spans="1:9" ht="15.75" thickBot="1" x14ac:dyDescent="0.3">
      <c r="A41" s="45">
        <v>43237</v>
      </c>
      <c r="B41" s="46">
        <f t="shared" ref="B41:B43" si="36">WEEKNUM(A41)</f>
        <v>20</v>
      </c>
      <c r="C41" s="47">
        <v>1.5</v>
      </c>
      <c r="D41" s="48" t="s">
        <v>9</v>
      </c>
      <c r="E41" s="49" t="s">
        <v>47</v>
      </c>
      <c r="F41" s="50"/>
      <c r="I41" s="7"/>
    </row>
    <row r="42" spans="1:9" ht="45" x14ac:dyDescent="0.25">
      <c r="A42" s="25">
        <v>43236</v>
      </c>
      <c r="B42" s="26">
        <f t="shared" ref="B42" si="37">WEEKNUM(A42)</f>
        <v>20</v>
      </c>
      <c r="C42" s="27">
        <v>2.25</v>
      </c>
      <c r="D42" s="28" t="s">
        <v>7</v>
      </c>
      <c r="E42" s="29" t="s">
        <v>26</v>
      </c>
      <c r="F42" s="30"/>
      <c r="I42" s="7"/>
    </row>
    <row r="43" spans="1:9" x14ac:dyDescent="0.25">
      <c r="A43" s="31">
        <v>43236</v>
      </c>
      <c r="B43" s="13">
        <f t="shared" si="36"/>
        <v>20</v>
      </c>
      <c r="C43" s="14">
        <v>0.75</v>
      </c>
      <c r="D43" s="15" t="s">
        <v>9</v>
      </c>
      <c r="E43" s="16" t="s">
        <v>19</v>
      </c>
      <c r="F43" s="32"/>
      <c r="I43" s="7"/>
    </row>
    <row r="44" spans="1:9" ht="15.75" thickBot="1" x14ac:dyDescent="0.3">
      <c r="A44" s="31">
        <v>43236</v>
      </c>
      <c r="B44" s="13">
        <f t="shared" ref="B44:B46" si="38">WEEKNUM(A44)</f>
        <v>20</v>
      </c>
      <c r="C44" s="14">
        <v>1.5</v>
      </c>
      <c r="D44" s="15" t="s">
        <v>9</v>
      </c>
      <c r="E44" s="16" t="s">
        <v>48</v>
      </c>
      <c r="F44" s="32"/>
      <c r="I44" s="7"/>
    </row>
    <row r="45" spans="1:9" ht="30" x14ac:dyDescent="0.25">
      <c r="A45" s="33">
        <v>43235</v>
      </c>
      <c r="B45" s="34">
        <f t="shared" ref="B45" si="39">WEEKNUM(A45)</f>
        <v>20</v>
      </c>
      <c r="C45" s="35">
        <v>3.75</v>
      </c>
      <c r="D45" s="36" t="s">
        <v>7</v>
      </c>
      <c r="E45" s="37" t="s">
        <v>25</v>
      </c>
      <c r="F45" s="38"/>
      <c r="I45" s="7"/>
    </row>
    <row r="46" spans="1:9" x14ac:dyDescent="0.25">
      <c r="A46" s="39">
        <v>43235</v>
      </c>
      <c r="B46" s="40">
        <f t="shared" si="38"/>
        <v>20</v>
      </c>
      <c r="C46" s="41">
        <v>0.75</v>
      </c>
      <c r="D46" s="42" t="s">
        <v>6</v>
      </c>
      <c r="E46" s="43" t="s">
        <v>21</v>
      </c>
      <c r="F46" s="44"/>
      <c r="I46" s="7"/>
    </row>
    <row r="47" spans="1:9" ht="30.75" thickBot="1" x14ac:dyDescent="0.3">
      <c r="A47" s="45">
        <v>43235</v>
      </c>
      <c r="B47" s="46">
        <f t="shared" ref="B47:B49" si="40">WEEKNUM(A47)</f>
        <v>20</v>
      </c>
      <c r="C47" s="47">
        <v>1.5</v>
      </c>
      <c r="D47" s="48" t="s">
        <v>6</v>
      </c>
      <c r="E47" s="49" t="s">
        <v>18</v>
      </c>
      <c r="F47" s="50" t="s">
        <v>45</v>
      </c>
      <c r="I47" s="7"/>
    </row>
    <row r="48" spans="1:9" x14ac:dyDescent="0.25">
      <c r="A48" s="51">
        <v>43229</v>
      </c>
      <c r="B48" s="52">
        <f t="shared" si="40"/>
        <v>19</v>
      </c>
      <c r="C48" s="53">
        <v>0.75</v>
      </c>
      <c r="D48" s="54" t="s">
        <v>7</v>
      </c>
      <c r="E48" s="55" t="s">
        <v>17</v>
      </c>
      <c r="F48" s="56"/>
      <c r="I48" s="7"/>
    </row>
    <row r="49" spans="1:9" x14ac:dyDescent="0.25">
      <c r="A49" s="17">
        <v>43229</v>
      </c>
      <c r="B49" s="10">
        <f t="shared" si="40"/>
        <v>19</v>
      </c>
      <c r="C49" s="5">
        <v>3</v>
      </c>
      <c r="D49" s="6" t="s">
        <v>9</v>
      </c>
      <c r="E49" s="12" t="s">
        <v>16</v>
      </c>
      <c r="F49" s="18"/>
      <c r="I49" s="7"/>
    </row>
    <row r="50" spans="1:9" ht="15.75" thickBot="1" x14ac:dyDescent="0.3">
      <c r="A50" s="19">
        <v>43229</v>
      </c>
      <c r="B50" s="20">
        <f t="shared" ref="B50:B51" si="41">WEEKNUM(A50)</f>
        <v>19</v>
      </c>
      <c r="C50" s="21">
        <v>0.75</v>
      </c>
      <c r="D50" s="22" t="s">
        <v>7</v>
      </c>
      <c r="E50" s="23" t="s">
        <v>15</v>
      </c>
      <c r="F50" s="24"/>
      <c r="I50" s="7"/>
    </row>
    <row r="51" spans="1:9" x14ac:dyDescent="0.25">
      <c r="A51" s="33">
        <v>43228</v>
      </c>
      <c r="B51" s="34">
        <f t="shared" si="41"/>
        <v>19</v>
      </c>
      <c r="C51" s="35">
        <v>3</v>
      </c>
      <c r="D51" s="36" t="s">
        <v>9</v>
      </c>
      <c r="E51" s="37" t="s">
        <v>14</v>
      </c>
      <c r="F51" s="38"/>
      <c r="I51" s="7"/>
    </row>
    <row r="52" spans="1:9" x14ac:dyDescent="0.25">
      <c r="A52" s="39">
        <v>43228</v>
      </c>
      <c r="B52" s="40">
        <f t="shared" ref="B52" si="42">WEEKNUM(A52)</f>
        <v>19</v>
      </c>
      <c r="C52" s="41">
        <v>2.25</v>
      </c>
      <c r="D52" s="42" t="s">
        <v>7</v>
      </c>
      <c r="E52" s="43" t="s">
        <v>13</v>
      </c>
      <c r="F52" s="44"/>
      <c r="I52" s="7"/>
    </row>
    <row r="53" spans="1:9" ht="15.75" thickBot="1" x14ac:dyDescent="0.3">
      <c r="A53" s="45">
        <v>43228</v>
      </c>
      <c r="B53" s="46">
        <f t="shared" ref="B53" si="43">WEEKNUM(A53)</f>
        <v>19</v>
      </c>
      <c r="C53" s="47">
        <v>0.75</v>
      </c>
      <c r="D53" s="48" t="s">
        <v>6</v>
      </c>
      <c r="E53" s="49" t="s">
        <v>12</v>
      </c>
      <c r="F53" s="50"/>
      <c r="I53" s="7"/>
    </row>
  </sheetData>
  <sheetProtection selectLockedCells="1"/>
  <pageMargins left="0.7" right="0.7" top="0.75" bottom="0.75" header="0.3" footer="0.3"/>
  <pageSetup paperSize="9" scale="6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2018-06-06T08:40:44Z</dcterms:modified>
</cp:coreProperties>
</file>