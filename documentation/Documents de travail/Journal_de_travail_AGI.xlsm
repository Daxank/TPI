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Paramètres" sheetId="2" r:id="rId2"/>
  </sheets>
  <calcPr calcId="162913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17" i="1"/>
  <c r="B8" i="1"/>
  <c r="B10" i="1"/>
  <c r="B11" i="1"/>
  <c r="B13" i="1"/>
  <c r="B14" i="1"/>
  <c r="B16" i="1"/>
  <c r="B19" i="1"/>
  <c r="B20" i="1"/>
  <c r="B22" i="1"/>
  <c r="B9" i="1"/>
  <c r="B12" i="1"/>
  <c r="B15" i="1"/>
  <c r="B18" i="1"/>
  <c r="B21" i="1"/>
  <c r="B23" i="1"/>
  <c r="B24" i="1"/>
</calcChain>
</file>

<file path=xl/sharedStrings.xml><?xml version="1.0" encoding="utf-8"?>
<sst xmlns="http://schemas.openxmlformats.org/spreadsheetml/2006/main" count="62" uniqueCount="39">
  <si>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</si>
  <si>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</si>
  <si>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</si>
  <si>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</si>
  <si>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</si>
  <si>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</si>
  <si>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</si>
  <si>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</si>
  <si>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</si>
  <si>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</si>
  <si>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</si>
  <si>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</si>
  <si>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Prise de connaissance du projet et signature du cahier des charges</t>
  </si>
  <si>
    <t>Départ du projet en cherchant template pour le site</t>
  </si>
  <si>
    <t>Écriture de la planification initiale</t>
  </si>
  <si>
    <t>Création du trello et du github</t>
  </si>
  <si>
    <t>Début de la documentation</t>
  </si>
  <si>
    <t>Création des pages webs nécessaires</t>
  </si>
  <si>
    <t>Recherches sur la meilleure façon de garder les données des utilisateurs sans leur faire de logins</t>
  </si>
  <si>
    <t>Création maquettes</t>
  </si>
  <si>
    <t>Création MCD</t>
  </si>
  <si>
    <t xml:space="preserve">Ccréation uses cases/scénarios </t>
  </si>
  <si>
    <t>Création vue d'ensemble</t>
  </si>
  <si>
    <t>Discussions avec le chef de projet</t>
  </si>
  <si>
    <t>Discussion avec le chef de projet</t>
  </si>
  <si>
    <t>Recherches et tentatives de compréhension de comment écrire, lire et utiliser des données de CSV</t>
  </si>
  <si>
    <t>Correction de la doc, du code et du journal de travail selon entretien avec chef de projet</t>
  </si>
  <si>
    <t>J'ai en premier opté sur des sessions mais après discussion avec le chef de projet, je suis partis sur des cookies</t>
  </si>
  <si>
    <t>écriture du code, passage de html à php, page index termine, travail sur les pages free.php, free-problem.php et five.php</t>
  </si>
  <si>
    <t>Avancée sur le code, travail sur les pages five.php, free.php, free-problem.php et début du travail sur free-result.php, suppression de code css dans main.css pour mieux convenir à mes besoins</t>
  </si>
  <si>
    <t>Avancée sur le code, travail sur l'affichage et le calcul d'un timer entre les pages free-problem.php et free-result.php</t>
  </si>
  <si>
    <t>mode libre fonctionnel, le code nécessaire au bon fonctionnement du mode est terminé.</t>
  </si>
  <si>
    <t>Manque le CSV</t>
  </si>
  <si>
    <t xml:space="preserve">Recherches sur comment lire et modifier un CSV, création du csv </t>
  </si>
  <si>
    <t>Ayant beaucoup de mal à comprendre comment lire et modifier des CSV, je pense que le mode libre et le mode 5 secondes fonctionneront bien avant que je n'arrive à enregistrer les stats</t>
  </si>
  <si>
    <t>Code de la page five-problem.php et five-result.php fonctionnel (manque toujours l'utilisation du CSV)</t>
  </si>
  <si>
    <t>Début de création des maquettes mobiles</t>
  </si>
  <si>
    <t>Entretien avec expert Laurent Ruchat</t>
  </si>
  <si>
    <t>Je continue d'étudier comment fonctionne la manipulation de CSV avec php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</si>
</sst>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wrapText="1"/>
    </xf>
    <xf numFmtId="1" fontId="0" fillId="0" borderId="2" xfId="0" applyNumberFormat="1" applyBorder="1" applyAlignment="1" applyProtection="1">
      <alignment horizontal="center" vertical="center"/>
    </xf>
    <xf numFmtId="2" fontId="0" fillId="0" borderId="2" xfId="0" applyNumberForma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wrapText="1"/>
    </xf>
    <xf numFmtId="14" fontId="0" fillId="0" borderId="6" xfId="0" applyNumberFormat="1" applyBorder="1"/>
    <xf numFmtId="0" fontId="0" fillId="0" borderId="7" xfId="0" applyBorder="1" applyAlignment="1" applyProtection="1">
      <alignment horizontal="left" vertical="center" wrapText="1"/>
      <protection locked="0"/>
    </xf>
    <xf numFmtId="14" fontId="0" fillId="0" borderId="8" xfId="0" applyNumberFormat="1" applyBorder="1"/>
    <xf numFmtId="1" fontId="0" fillId="0" borderId="9" xfId="0" applyNumberFormat="1" applyBorder="1" applyAlignment="1" applyProtection="1">
      <alignment horizontal="center" vertical="center"/>
    </xf>
    <xf numFmtId="2" fontId="0" fillId="0" borderId="9" xfId="0" applyNumberFormat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9" xfId="0" applyBorder="1" applyAlignment="1">
      <alignment wrapText="1"/>
    </xf>
    <xf numFmtId="0" fontId="0" fillId="0" borderId="10" xfId="0" applyBorder="1" applyAlignment="1" applyProtection="1">
      <alignment horizontal="left" vertical="center" wrapText="1"/>
      <protection locked="0"/>
    </xf>
    <xf numFmtId="14" fontId="0" fillId="0" borderId="11" xfId="0" applyNumberFormat="1" applyBorder="1"/>
    <xf numFmtId="1" fontId="0" fillId="0" borderId="12" xfId="0" applyNumberFormat="1" applyBorder="1" applyAlignment="1" applyProtection="1">
      <alignment horizontal="center" vertical="center"/>
    </xf>
    <xf numFmtId="2" fontId="0" fillId="0" borderId="12" xfId="0" applyNumberFormat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2" xfId="0" applyBorder="1" applyAlignment="1">
      <alignment wrapText="1"/>
    </xf>
    <xf numFmtId="0" fontId="0" fillId="0" borderId="13" xfId="0" applyBorder="1" applyAlignment="1" applyProtection="1">
      <alignment horizontal="left" vertical="center" wrapText="1"/>
      <protection locked="0"/>
    </xf>
    <xf numFmtId="14" fontId="0" fillId="0" borderId="14" xfId="0" applyNumberFormat="1" applyBorder="1"/>
    <xf numFmtId="0" fontId="0" fillId="0" borderId="15" xfId="0" applyBorder="1" applyAlignment="1" applyProtection="1">
      <alignment horizontal="left" vertical="center" wrapText="1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1" fontId="1" fillId="2" borderId="2" xfId="0" applyNumberFormat="1" applyFont="1" applyFill="1" applyBorder="1" applyAlignment="1" applyProtection="1">
      <alignment horizontal="center" vertical="center"/>
    </xf>
    <xf numFmtId="2" fontId="1" fillId="2" borderId="2" xfId="0" applyNumberFormat="1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14" fontId="0" fillId="3" borderId="3" xfId="0" applyNumberFormat="1" applyFill="1" applyBorder="1"/>
    <xf numFmtId="1" fontId="0" fillId="3" borderId="4" xfId="0" applyNumberFormat="1" applyFill="1" applyBorder="1" applyAlignment="1" applyProtection="1">
      <alignment horizontal="center" vertical="center"/>
    </xf>
    <xf numFmtId="2" fontId="0" fillId="3" borderId="4" xfId="0" applyNumberFormat="1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>
      <alignment wrapText="1"/>
    </xf>
    <xf numFmtId="0" fontId="0" fillId="3" borderId="5" xfId="0" applyFill="1" applyBorder="1" applyAlignment="1" applyProtection="1">
      <alignment horizontal="left" vertical="center" wrapText="1"/>
      <protection locked="0"/>
    </xf>
    <xf numFmtId="14" fontId="0" fillId="3" borderId="6" xfId="0" applyNumberFormat="1" applyFill="1" applyBorder="1"/>
    <xf numFmtId="1" fontId="0" fillId="3" borderId="1" xfId="0" applyNumberFormat="1" applyFill="1" applyBorder="1" applyAlignment="1" applyProtection="1">
      <alignment horizontal="center" vertical="center"/>
    </xf>
    <xf numFmtId="2" fontId="0" fillId="3" borderId="1" xfId="0" applyNumberForma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wrapText="1"/>
    </xf>
    <xf numFmtId="0" fontId="0" fillId="3" borderId="7" xfId="0" applyFill="1" applyBorder="1" applyAlignment="1" applyProtection="1">
      <alignment horizontal="left" vertical="center" wrapText="1"/>
      <protection locked="0"/>
    </xf>
    <xf numFmtId="14" fontId="0" fillId="3" borderId="8" xfId="0" applyNumberFormat="1" applyFill="1" applyBorder="1"/>
    <xf numFmtId="1" fontId="0" fillId="3" borderId="9" xfId="0" applyNumberFormat="1" applyFill="1" applyBorder="1" applyAlignment="1" applyProtection="1">
      <alignment horizontal="center" vertical="center"/>
    </xf>
    <xf numFmtId="2" fontId="0" fillId="3" borderId="9" xfId="0" applyNumberFormat="1" applyFill="1" applyBorder="1" applyAlignment="1" applyProtection="1">
      <alignment horizontal="center" vertical="center"/>
      <protection locked="0"/>
    </xf>
    <xf numFmtId="0" fontId="0" fillId="3" borderId="9" xfId="0" applyFill="1" applyBorder="1" applyAlignment="1" applyProtection="1">
      <alignment horizontal="center" vertical="center"/>
      <protection locked="0"/>
    </xf>
    <xf numFmtId="0" fontId="0" fillId="3" borderId="9" xfId="0" applyFill="1" applyBorder="1" applyAlignment="1">
      <alignment wrapText="1"/>
    </xf>
    <xf numFmtId="0" fontId="0" fillId="3" borderId="10" xfId="0" applyFill="1" applyBorder="1" applyAlignment="1" applyProtection="1">
      <alignment horizontal="left" vertical="center" wrapText="1"/>
      <protection locked="0"/>
    </xf>
    <xf numFmtId="14" fontId="0" fillId="0" borderId="16" xfId="0" applyNumberFormat="1" applyBorder="1"/>
    <xf numFmtId="1" fontId="0" fillId="0" borderId="17" xfId="0" applyNumberFormat="1" applyBorder="1" applyAlignment="1" applyProtection="1">
      <alignment horizontal="center" vertical="center"/>
    </xf>
    <xf numFmtId="2" fontId="0" fillId="0" borderId="17" xfId="0" applyNumberFormat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7" xfId="0" applyBorder="1" applyAlignment="1">
      <alignment wrapText="1"/>
    </xf>
    <xf numFmtId="0" fontId="0" fillId="0" borderId="18" xfId="0" applyBorder="1" applyAlignment="1" applyProtection="1">
      <alignment horizontal="left" vertical="center" wrapText="1"/>
      <protection locked="0"/>
    </xf>
    <xf numFmtId="14" fontId="0" fillId="3" borderId="11" xfId="0" applyNumberFormat="1" applyFill="1" applyBorder="1"/>
    <xf numFmtId="1" fontId="0" fillId="3" borderId="12" xfId="0" applyNumberFormat="1" applyFill="1" applyBorder="1" applyAlignment="1" applyProtection="1">
      <alignment horizontal="center" vertical="center"/>
    </xf>
    <xf numFmtId="2" fontId="0" fillId="3" borderId="12" xfId="0" applyNumberFormat="1" applyFill="1" applyBorder="1" applyAlignment="1" applyProtection="1">
      <alignment horizontal="center" vertical="center"/>
      <protection locked="0"/>
    </xf>
    <xf numFmtId="0" fontId="0" fillId="3" borderId="12" xfId="0" applyFill="1" applyBorder="1" applyAlignment="1" applyProtection="1">
      <alignment horizontal="center" vertical="center"/>
      <protection locked="0"/>
    </xf>
    <xf numFmtId="0" fontId="0" fillId="3" borderId="12" xfId="0" applyFill="1" applyBorder="1" applyAlignment="1">
      <alignment wrapText="1"/>
    </xf>
    <xf numFmtId="0" fontId="0" fillId="3" borderId="13" xfId="0" applyFill="1" applyBorder="1" applyAlignment="1" applyProtection="1">
      <alignment horizontal="left" vertical="center" wrapText="1"/>
      <protection locked="0"/>
    </xf>
    <xf numFmtId="14" fontId="0" fillId="3" borderId="14" xfId="0" applyNumberFormat="1" applyFill="1" applyBorder="1"/>
    <xf numFmtId="1" fontId="0" fillId="3" borderId="2" xfId="0" applyNumberFormat="1" applyFill="1" applyBorder="1" applyAlignment="1" applyProtection="1">
      <alignment horizontal="center" vertical="center"/>
    </xf>
    <xf numFmtId="2" fontId="0" fillId="3" borderId="2" xfId="0" applyNumberFormat="1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>
      <alignment wrapText="1"/>
    </xf>
    <xf numFmtId="0" fontId="0" fillId="3" borderId="15" xfId="0" applyFill="1" applyBorder="1" applyAlignment="1" applyProtection="1">
      <alignment horizontal="left" vertical="center" wrapText="1"/>
      <protection locked="0"/>
    </xf>
    <xf numFmtId="14" fontId="0" fillId="4" borderId="2" xfId="0" applyNumberFormat="1" applyFill="1" applyBorder="1"/>
    <xf numFmtId="1" fontId="0" fillId="4" borderId="2" xfId="0" applyNumberFormat="1" applyFill="1" applyBorder="1" applyAlignment="1" applyProtection="1">
      <alignment horizontal="center" vertical="center"/>
    </xf>
    <xf numFmtId="2" fontId="0" fillId="4" borderId="2" xfId="0" applyNumberFormat="1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>
      <alignment wrapText="1"/>
    </xf>
    <xf numFmtId="0" fontId="0" fillId="4" borderId="2" xfId="0" applyFill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4"/>
  <sheetViews>
    <sheetView tabSelected="1" workbookViewId="0">
      <selection activeCell="E6" sqref="E6"/>
    </sheetView>
  </sheetViews>
  <sheetFormatPr baseColWidth="10" defaultColWidth="9.140625" defaultRowHeight="15" x14ac:dyDescent="0.25"/>
  <cols>
    <col min="1" max="1" width="10.140625" style="3" bestFit="1" customWidth="1"/>
    <col min="2" max="2" width="9.28515625" style="11" bestFit="1" customWidth="1"/>
    <col min="3" max="3" width="10.5703125" style="8" bestFit="1" customWidth="1"/>
    <col min="4" max="4" width="14.7109375" style="3" bestFit="1" customWidth="1"/>
    <col min="5" max="5" width="84.85546875" style="9" bestFit="1" customWidth="1"/>
    <col min="6" max="6" width="75.140625" style="9" customWidth="1"/>
    <col min="7" max="16384" width="9.140625" style="4"/>
  </cols>
  <sheetData>
    <row r="1" spans="1:9" ht="24" customHeight="1" x14ac:dyDescent="0.25">
      <c r="A1" s="33" t="s">
        <v>2</v>
      </c>
      <c r="B1" s="34" t="s">
        <v>11</v>
      </c>
      <c r="C1" s="35" t="s">
        <v>3</v>
      </c>
      <c r="D1" s="33" t="s">
        <v>4</v>
      </c>
      <c r="E1" s="36" t="s">
        <v>0</v>
      </c>
      <c r="F1" s="36" t="s">
        <v>1</v>
      </c>
    </row>
    <row r="2" spans="1:9" x14ac:dyDescent="0.25">
      <c r="A2" s="73">
        <v>43243</v>
      </c>
      <c r="B2" s="74">
        <f t="shared" ref="B2" si="0">WEEKNUM(A2)</f>
        <v>21</v>
      </c>
      <c r="C2" s="75">
        <v>0.75</v>
      </c>
      <c r="D2" s="76" t="s">
        <v>9</v>
      </c>
      <c r="E2" s="77" t="s">
        <v>36</v>
      </c>
      <c r="F2" s="78"/>
      <c r="I2" s="7"/>
    </row>
    <row r="3" spans="1:9" x14ac:dyDescent="0.25">
      <c r="A3" s="73">
        <v>43243</v>
      </c>
      <c r="B3" s="74">
        <f t="shared" ref="B3" si="1">WEEKNUM(A3)</f>
        <v>21</v>
      </c>
      <c r="C3" s="75">
        <v>0.75</v>
      </c>
      <c r="D3" s="76" t="s">
        <v>6</v>
      </c>
      <c r="E3" s="77" t="s">
        <v>37</v>
      </c>
      <c r="F3" s="78"/>
      <c r="I3" s="7"/>
    </row>
    <row r="4" spans="1:9" ht="30.75" thickBot="1" x14ac:dyDescent="0.3">
      <c r="A4" s="73">
        <v>43243</v>
      </c>
      <c r="B4" s="74">
        <f t="shared" ref="B4" si="2">WEEKNUM(A4)</f>
        <v>21</v>
      </c>
      <c r="C4" s="75">
        <v>3</v>
      </c>
      <c r="D4" s="76" t="s">
        <v>7</v>
      </c>
      <c r="E4" s="77" t="s">
        <v>35</v>
      </c>
      <c r="F4" s="78" t="s">
        <v>38</v>
      </c>
      <c r="I4" s="7"/>
    </row>
    <row r="5" spans="1:9" x14ac:dyDescent="0.25">
      <c r="A5" s="61">
        <v>43242</v>
      </c>
      <c r="B5" s="62">
        <f t="shared" ref="B5" si="3">WEEKNUM(A5)</f>
        <v>21</v>
      </c>
      <c r="C5" s="63">
        <v>4.5</v>
      </c>
      <c r="D5" s="64" t="s">
        <v>9</v>
      </c>
      <c r="E5" s="65" t="s">
        <v>26</v>
      </c>
      <c r="F5" s="66"/>
      <c r="I5" s="7"/>
    </row>
    <row r="6" spans="1:9" x14ac:dyDescent="0.25">
      <c r="A6" s="67">
        <v>43242</v>
      </c>
      <c r="B6" s="68">
        <f t="shared" ref="B6" si="4">WEEKNUM(A6)</f>
        <v>21</v>
      </c>
      <c r="C6" s="69">
        <v>0.75</v>
      </c>
      <c r="D6" s="70" t="s">
        <v>6</v>
      </c>
      <c r="E6" s="71" t="s">
        <v>24</v>
      </c>
      <c r="F6" s="72"/>
      <c r="I6" s="7"/>
    </row>
    <row r="7" spans="1:9" ht="30.75" thickBot="1" x14ac:dyDescent="0.3">
      <c r="A7" s="49">
        <v>43242</v>
      </c>
      <c r="B7" s="50">
        <f t="shared" ref="B7" si="5">WEEKNUM(A7)</f>
        <v>21</v>
      </c>
      <c r="C7" s="51">
        <v>0.75</v>
      </c>
      <c r="D7" s="52" t="s">
        <v>6</v>
      </c>
      <c r="E7" s="53" t="s">
        <v>25</v>
      </c>
      <c r="F7" s="54"/>
      <c r="I7" s="7"/>
    </row>
    <row r="8" spans="1:9" ht="45" x14ac:dyDescent="0.25">
      <c r="A8" s="25">
        <v>43238</v>
      </c>
      <c r="B8" s="26">
        <f t="shared" ref="B8" si="6">WEEKNUM(A8)</f>
        <v>20</v>
      </c>
      <c r="C8" s="27">
        <v>5.25</v>
      </c>
      <c r="D8" s="28" t="s">
        <v>6</v>
      </c>
      <c r="E8" s="29" t="s">
        <v>33</v>
      </c>
      <c r="F8" s="30" t="s">
        <v>34</v>
      </c>
      <c r="I8" s="7"/>
    </row>
    <row r="9" spans="1:9" ht="15.75" thickBot="1" x14ac:dyDescent="0.3">
      <c r="A9" s="19">
        <v>43238</v>
      </c>
      <c r="B9" s="20">
        <f t="shared" ref="B9:B11" si="7">WEEKNUM(A9)</f>
        <v>20</v>
      </c>
      <c r="C9" s="21">
        <v>5.25</v>
      </c>
      <c r="D9" s="22" t="s">
        <v>7</v>
      </c>
      <c r="E9" s="23" t="s">
        <v>31</v>
      </c>
      <c r="F9" s="24" t="s">
        <v>32</v>
      </c>
      <c r="I9" s="7"/>
    </row>
    <row r="10" spans="1:9" ht="30" x14ac:dyDescent="0.25">
      <c r="A10" s="61">
        <v>43237</v>
      </c>
      <c r="B10" s="62">
        <f t="shared" ref="B10" si="8">WEEKNUM(A10)</f>
        <v>20</v>
      </c>
      <c r="C10" s="63">
        <v>3.75</v>
      </c>
      <c r="D10" s="64" t="s">
        <v>7</v>
      </c>
      <c r="E10" s="65" t="s">
        <v>30</v>
      </c>
      <c r="F10" s="66"/>
      <c r="I10" s="7"/>
    </row>
    <row r="11" spans="1:9" x14ac:dyDescent="0.25">
      <c r="A11" s="67">
        <v>43237</v>
      </c>
      <c r="B11" s="68">
        <f t="shared" si="7"/>
        <v>20</v>
      </c>
      <c r="C11" s="69">
        <v>1.5</v>
      </c>
      <c r="D11" s="70" t="s">
        <v>9</v>
      </c>
      <c r="E11" s="71" t="s">
        <v>22</v>
      </c>
      <c r="F11" s="72"/>
      <c r="I11" s="7"/>
    </row>
    <row r="12" spans="1:9" ht="15.75" thickBot="1" x14ac:dyDescent="0.3">
      <c r="A12" s="49">
        <v>43237</v>
      </c>
      <c r="B12" s="50">
        <f t="shared" ref="B12:B14" si="9">WEEKNUM(A12)</f>
        <v>20</v>
      </c>
      <c r="C12" s="51">
        <v>1.5</v>
      </c>
      <c r="D12" s="52" t="s">
        <v>9</v>
      </c>
      <c r="E12" s="53" t="s">
        <v>21</v>
      </c>
      <c r="F12" s="54"/>
      <c r="I12" s="7"/>
    </row>
    <row r="13" spans="1:9" ht="45" x14ac:dyDescent="0.25">
      <c r="A13" s="25">
        <v>43236</v>
      </c>
      <c r="B13" s="26">
        <f t="shared" ref="B13" si="10">WEEKNUM(A13)</f>
        <v>20</v>
      </c>
      <c r="C13" s="27">
        <v>2.25</v>
      </c>
      <c r="D13" s="28" t="s">
        <v>7</v>
      </c>
      <c r="E13" s="29" t="s">
        <v>29</v>
      </c>
      <c r="F13" s="30"/>
      <c r="I13" s="7"/>
    </row>
    <row r="14" spans="1:9" x14ac:dyDescent="0.25">
      <c r="A14" s="31">
        <v>43236</v>
      </c>
      <c r="B14" s="13">
        <f t="shared" si="9"/>
        <v>20</v>
      </c>
      <c r="C14" s="14">
        <v>0.75</v>
      </c>
      <c r="D14" s="15" t="s">
        <v>9</v>
      </c>
      <c r="E14" s="16" t="s">
        <v>20</v>
      </c>
      <c r="F14" s="32"/>
      <c r="I14" s="7"/>
    </row>
    <row r="15" spans="1:9" ht="15.75" thickBot="1" x14ac:dyDescent="0.3">
      <c r="A15" s="31">
        <v>43236</v>
      </c>
      <c r="B15" s="13">
        <f t="shared" ref="B15:B17" si="11">WEEKNUM(A15)</f>
        <v>20</v>
      </c>
      <c r="C15" s="14">
        <v>1.5</v>
      </c>
      <c r="D15" s="15" t="s">
        <v>9</v>
      </c>
      <c r="E15" s="16" t="s">
        <v>19</v>
      </c>
      <c r="F15" s="32"/>
      <c r="I15" s="7"/>
    </row>
    <row r="16" spans="1:9" ht="30" x14ac:dyDescent="0.25">
      <c r="A16" s="37">
        <v>43235</v>
      </c>
      <c r="B16" s="38">
        <f t="shared" ref="B16" si="12">WEEKNUM(A16)</f>
        <v>20</v>
      </c>
      <c r="C16" s="39">
        <v>3.75</v>
      </c>
      <c r="D16" s="40" t="s">
        <v>7</v>
      </c>
      <c r="E16" s="41" t="s">
        <v>28</v>
      </c>
      <c r="F16" s="42"/>
      <c r="I16" s="7"/>
    </row>
    <row r="17" spans="1:9" x14ac:dyDescent="0.25">
      <c r="A17" s="43">
        <v>43235</v>
      </c>
      <c r="B17" s="44">
        <f t="shared" si="11"/>
        <v>20</v>
      </c>
      <c r="C17" s="45">
        <v>0.75</v>
      </c>
      <c r="D17" s="46" t="s">
        <v>6</v>
      </c>
      <c r="E17" s="47" t="s">
        <v>23</v>
      </c>
      <c r="F17" s="48"/>
      <c r="I17" s="7"/>
    </row>
    <row r="18" spans="1:9" ht="30.75" thickBot="1" x14ac:dyDescent="0.3">
      <c r="A18" s="49">
        <v>43235</v>
      </c>
      <c r="B18" s="50">
        <f t="shared" ref="B18:B20" si="13">WEEKNUM(A18)</f>
        <v>20</v>
      </c>
      <c r="C18" s="51">
        <v>1.5</v>
      </c>
      <c r="D18" s="52" t="s">
        <v>6</v>
      </c>
      <c r="E18" s="53" t="s">
        <v>18</v>
      </c>
      <c r="F18" s="54" t="s">
        <v>27</v>
      </c>
      <c r="I18" s="7"/>
    </row>
    <row r="19" spans="1:9" x14ac:dyDescent="0.25">
      <c r="A19" s="55">
        <v>43229</v>
      </c>
      <c r="B19" s="56">
        <f t="shared" si="13"/>
        <v>19</v>
      </c>
      <c r="C19" s="57">
        <v>0.75</v>
      </c>
      <c r="D19" s="58" t="s">
        <v>7</v>
      </c>
      <c r="E19" s="59" t="s">
        <v>17</v>
      </c>
      <c r="F19" s="60"/>
      <c r="I19" s="7"/>
    </row>
    <row r="20" spans="1:9" x14ac:dyDescent="0.25">
      <c r="A20" s="17">
        <v>43229</v>
      </c>
      <c r="B20" s="10">
        <f t="shared" si="13"/>
        <v>19</v>
      </c>
      <c r="C20" s="5">
        <v>3</v>
      </c>
      <c r="D20" s="6" t="s">
        <v>9</v>
      </c>
      <c r="E20" s="12" t="s">
        <v>16</v>
      </c>
      <c r="F20" s="18"/>
      <c r="I20" s="7"/>
    </row>
    <row r="21" spans="1:9" ht="15.75" thickBot="1" x14ac:dyDescent="0.3">
      <c r="A21" s="19">
        <v>43229</v>
      </c>
      <c r="B21" s="20">
        <f t="shared" ref="B21:B22" si="14">WEEKNUM(A21)</f>
        <v>19</v>
      </c>
      <c r="C21" s="21">
        <v>0.75</v>
      </c>
      <c r="D21" s="22" t="s">
        <v>7</v>
      </c>
      <c r="E21" s="23" t="s">
        <v>15</v>
      </c>
      <c r="F21" s="24"/>
      <c r="I21" s="7"/>
    </row>
    <row r="22" spans="1:9" x14ac:dyDescent="0.25">
      <c r="A22" s="37">
        <v>43228</v>
      </c>
      <c r="B22" s="38">
        <f t="shared" si="14"/>
        <v>19</v>
      </c>
      <c r="C22" s="39">
        <v>3</v>
      </c>
      <c r="D22" s="40" t="s">
        <v>9</v>
      </c>
      <c r="E22" s="41" t="s">
        <v>14</v>
      </c>
      <c r="F22" s="42"/>
      <c r="I22" s="7"/>
    </row>
    <row r="23" spans="1:9" x14ac:dyDescent="0.25">
      <c r="A23" s="43">
        <v>43228</v>
      </c>
      <c r="B23" s="44">
        <f t="shared" ref="B23" si="15">WEEKNUM(A23)</f>
        <v>19</v>
      </c>
      <c r="C23" s="45">
        <v>2.25</v>
      </c>
      <c r="D23" s="46" t="s">
        <v>7</v>
      </c>
      <c r="E23" s="47" t="s">
        <v>13</v>
      </c>
      <c r="F23" s="48"/>
      <c r="I23" s="7"/>
    </row>
    <row r="24" spans="1:9" ht="15.75" thickBot="1" x14ac:dyDescent="0.3">
      <c r="A24" s="49">
        <v>43228</v>
      </c>
      <c r="B24" s="50">
        <f t="shared" ref="B24" si="16">WEEKNUM(A24)</f>
        <v>19</v>
      </c>
      <c r="C24" s="51">
        <v>0.75</v>
      </c>
      <c r="D24" s="52" t="s">
        <v>6</v>
      </c>
      <c r="E24" s="53" t="s">
        <v>12</v>
      </c>
      <c r="F24" s="54"/>
      <c r="I24" s="7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Journal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2018-05-23T12:10:16Z</dcterms:modified>
</cp:coreProperties>
</file>