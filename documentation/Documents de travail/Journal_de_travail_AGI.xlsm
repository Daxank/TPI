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Journal!$A$1:$F$45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9" i="1"/>
  <c r="B18" i="1"/>
  <c r="B20" i="1"/>
  <c r="B21" i="1"/>
  <c r="B22" i="1"/>
  <c r="B23" i="1"/>
  <c r="B24" i="1"/>
  <c r="B25" i="1"/>
  <c r="B26" i="1"/>
  <c r="B27" i="1"/>
  <c r="B28" i="1"/>
  <c r="B38" i="1"/>
  <c r="B29" i="1"/>
  <c r="B31" i="1"/>
  <c r="B32" i="1"/>
  <c r="B34" i="1"/>
  <c r="B35" i="1"/>
  <c r="B37" i="1"/>
  <c r="B40" i="1"/>
  <c r="B41" i="1"/>
  <c r="B43" i="1"/>
  <c r="B30" i="1"/>
  <c r="B33" i="1"/>
  <c r="B36" i="1"/>
  <c r="B39" i="1"/>
  <c r="B42" i="1"/>
  <c r="B44" i="1"/>
  <c r="B45" i="1"/>
</calcChain>
</file>

<file path=xl/sharedStrings.xml><?xml version="1.0" encoding="utf-8"?>
<sst xmlns="http://schemas.openxmlformats.org/spreadsheetml/2006/main" count="108" uniqueCount="62">
  <si>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</si>
  <si>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</si>
  <si>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</si>
  <si>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</si>
  <si>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</si>
  <si>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</si>
  <si>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</si>
  <si>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</si>
  <si>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</si>
  <si>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</si>
  <si>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</si>
  <si>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</si>
  <si>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</si>
  <si>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</si>
  <si>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</si>
  <si>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</si>
  <si>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</si>
  <si>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</si>
  <si>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</si>
  <si>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MCD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</si>
  <si>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</si>
  <si>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</si>
  <si>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</si>
  <si>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</si>
  <si>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</si>
  <si>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</si>
  <si>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</si>
  <si>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</si>
  <si>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</si>
  <si>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 xml:space="preserve">Recherches sur comment lire et modifier un CSV, création du csv 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</si>
  <si>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</si>
  <si>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</si>
  <si>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</si>
  <si>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Écriture de la stratégie de test</t>
  </si>
  <si>
    <t>Fin de la création des maquettes mobiles et intégration dans la doc et quelques changement dans le code par rapport aux nouvelles maquettes (principalement du texte)</t>
  </si>
  <si>
    <t>Tentative de compréhension du fonctionnement du CSV en testant directement avec le site en écrivant le code en fonction</t>
  </si>
  <si>
    <t>L'enregistrement des résultats dans le CSV est maintenant entièrement fonctionnel</t>
  </si>
  <si>
    <t>Révision et compréhension du MCD avec Mr. Carrel</t>
  </si>
  <si>
    <t>Écriture de la premier particularité (document.write) et du dossier de réalisation</t>
  </si>
  <si>
    <t>Correction du code pour que l'enregistrement CSV de five-result se fasse correctement.</t>
  </si>
  <si>
    <t>suppression de la première particularité de la doc car après tests, document.write ne fonctionnait pas du tout.</t>
  </si>
  <si>
    <t>Prise de temps majeure sur la compréhension de l'utilisation des CSV                              Création d'un MCD via aide de Mr. Carrel a aider grandement à la compréhension</t>
  </si>
  <si>
    <t>Étude du fonctionnement des CSV avec php toujours en cours</t>
  </si>
  <si>
    <t>Problèmes de compréhensions du fonctionnement des CSV avec php</t>
  </si>
  <si>
    <t>CSV manquant</t>
  </si>
  <si>
    <t>Discussion avec chef de projet a résulté au choix de cookies plutôt que de sessions</t>
  </si>
  <si>
    <t>Problème d'exécution des fonctions causé par raisons inconnues                                         Implémentation d'un nouveau système fonctionnel</t>
  </si>
  <si>
    <t xml:space="preserve">Création  de l'ensemble des uses cases/scénarios </t>
  </si>
  <si>
    <t>Création des maquettes du site pour format PC</t>
  </si>
  <si>
    <t>Tests de lecture du CSV pour l'intégration dans stats.php</t>
  </si>
  <si>
    <t>Ecriture de la particularité 1, création du MLD et écriture des spécifications, écritures des risques potentiels et écriture de compléments d'informations à la stratégie de tests.</t>
  </si>
  <si>
    <t>Correction du MLD, des risques potentiels et de la stratégie de test selon entretient avec chef de projet</t>
  </si>
  <si>
    <t>Avancée sur le code stats.php, peut maintenant dire le nombre de justes et de faux pour l'utilisateur</t>
  </si>
  <si>
    <t>Avancée sur le code stats.php</t>
  </si>
  <si>
    <t>Changement du système de traitements de données lu pour in_array</t>
  </si>
  <si>
    <t>stats.php terminé, fonctionne comme prévu</t>
  </si>
  <si>
    <t xml:space="preserve">Mise en ligne du site et légères corrections sur le code de five-problem.php et five-result.php pour que cela fonctionne correctement en ligne </t>
  </si>
  <si>
    <t>changement de local à en ligne trouvable dans les commentaires du code</t>
  </si>
  <si>
    <t>Discussion avec le chef de projet au sujet de l'avancée de ma documentation et modifications en conséquence</t>
  </si>
  <si>
    <t>Avancé dans la doc, planification, dossier de conception, particularité 2,  réalisation, description test effectués, erreurs restantes, conclusion.</t>
  </si>
  <si>
    <t>Avancé dans la doc, création du manuel d'installation, création du manuel d'utilisation et quelques modifications de texte</t>
  </si>
  <si>
    <t>Création du resumé de rapport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</si>
</sst>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14" fontId="0" fillId="4" borderId="14" xfId="0" applyNumberFormat="1" applyFill="1" applyBorder="1"/>
    <xf numFmtId="0" fontId="0" fillId="4" borderId="15" xfId="0" applyFill="1" applyBorder="1" applyAlignment="1" applyProtection="1">
      <alignment horizontal="left" vertical="center" wrapText="1"/>
      <protection locked="0"/>
    </xf>
    <xf numFmtId="14" fontId="0" fillId="4" borderId="8" xfId="0" applyNumberFormat="1" applyFill="1" applyBorder="1"/>
    <xf numFmtId="1" fontId="0" fillId="4" borderId="9" xfId="0" applyNumberFormat="1" applyFill="1" applyBorder="1" applyAlignment="1" applyProtection="1">
      <alignment horizontal="center" vertical="center"/>
    </xf>
    <xf numFmtId="2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wrapText="1"/>
    </xf>
    <xf numFmtId="0" fontId="0" fillId="4" borderId="10" xfId="0" applyFill="1" applyBorder="1" applyAlignment="1" applyProtection="1">
      <alignment horizontal="left" vertical="center" wrapText="1"/>
      <protection locked="0"/>
    </xf>
    <xf numFmtId="14" fontId="0" fillId="4" borderId="19" xfId="0" applyNumberFormat="1" applyFill="1" applyBorder="1"/>
    <xf numFmtId="1" fontId="0" fillId="4" borderId="20" xfId="0" applyNumberFormat="1" applyFill="1" applyBorder="1" applyAlignment="1" applyProtection="1">
      <alignment horizontal="center" vertical="center"/>
    </xf>
    <xf numFmtId="2" fontId="0" fillId="4" borderId="20" xfId="0" applyNumberFormat="1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wrapText="1"/>
    </xf>
    <xf numFmtId="0" fontId="0" fillId="4" borderId="2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wrapText="1"/>
    </xf>
    <xf numFmtId="14" fontId="0" fillId="4" borderId="6" xfId="0" applyNumberFormat="1" applyFill="1" applyBorder="1"/>
    <xf numFmtId="0" fontId="0" fillId="4" borderId="7" xfId="0" applyFill="1" applyBorder="1" applyAlignment="1" applyProtection="1">
      <alignment horizontal="left" vertical="center" wrapText="1"/>
      <protection locked="0"/>
    </xf>
    <xf numFmtId="14" fontId="0" fillId="4" borderId="16" xfId="0" applyNumberFormat="1" applyFill="1" applyBorder="1"/>
    <xf numFmtId="1" fontId="0" fillId="4" borderId="17" xfId="0" applyNumberFormat="1" applyFill="1" applyBorder="1" applyAlignment="1" applyProtection="1">
      <alignment horizontal="center" vertical="center"/>
    </xf>
    <xf numFmtId="2" fontId="0" fillId="4" borderId="17" xfId="0" applyNumberForma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>
      <alignment wrapText="1"/>
    </xf>
    <xf numFmtId="0" fontId="0" fillId="4" borderId="18" xfId="0" applyFill="1" applyBorder="1" applyAlignment="1" applyProtection="1">
      <alignment horizontal="left" vertical="center" wrapText="1"/>
      <protection locked="0"/>
    </xf>
    <xf numFmtId="14" fontId="0" fillId="4" borderId="3" xfId="0" applyNumberFormat="1" applyFill="1" applyBorder="1"/>
    <xf numFmtId="1" fontId="0" fillId="4" borderId="4" xfId="0" applyNumberFormat="1" applyFill="1" applyBorder="1" applyAlignment="1" applyProtection="1">
      <alignment horizontal="center" vertical="center"/>
    </xf>
    <xf numFmtId="2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wrapText="1"/>
    </xf>
    <xf numFmtId="0" fontId="0" fillId="4" borderId="5" xfId="0" applyFill="1" applyBorder="1" applyAlignment="1" applyProtection="1">
      <alignment horizontal="left" vertical="center" wrapText="1"/>
      <protection locked="0"/>
    </xf>
    <xf numFmtId="14" fontId="0" fillId="3" borderId="16" xfId="0" applyNumberFormat="1" applyFill="1" applyBorder="1"/>
    <xf numFmtId="1" fontId="0" fillId="3" borderId="17" xfId="0" applyNumberFormat="1" applyFill="1" applyBorder="1" applyAlignment="1" applyProtection="1">
      <alignment horizontal="center" vertical="center"/>
    </xf>
    <xf numFmtId="2" fontId="0" fillId="3" borderId="17" xfId="0" applyNumberFormat="1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 applyProtection="1">
      <alignment horizontal="left" vertical="center" wrapText="1"/>
      <protection locked="0"/>
    </xf>
    <xf numFmtId="14" fontId="0" fillId="3" borderId="22" xfId="0" applyNumberFormat="1" applyFill="1" applyBorder="1"/>
    <xf numFmtId="1" fontId="0" fillId="3" borderId="23" xfId="0" applyNumberFormat="1" applyFill="1" applyBorder="1" applyAlignment="1" applyProtection="1">
      <alignment horizontal="center" vertical="center"/>
    </xf>
    <xf numFmtId="2" fontId="0" fillId="3" borderId="23" xfId="0" applyNumberFormat="1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>
      <alignment wrapText="1"/>
    </xf>
    <xf numFmtId="0" fontId="0" fillId="3" borderId="24" xfId="0" applyFill="1" applyBorder="1" applyAlignment="1" applyProtection="1">
      <alignment horizontal="left" vertical="center" wrapText="1"/>
      <protection locked="0"/>
    </xf>
    <xf numFmtId="14" fontId="0" fillId="4" borderId="22" xfId="0" applyNumberFormat="1" applyFill="1" applyBorder="1"/>
    <xf numFmtId="1" fontId="0" fillId="4" borderId="23" xfId="0" applyNumberFormat="1" applyFill="1" applyBorder="1" applyAlignment="1" applyProtection="1">
      <alignment horizontal="center" vertical="center"/>
    </xf>
    <xf numFmtId="2" fontId="0" fillId="4" borderId="23" xfId="0" applyNumberFormat="1" applyFill="1" applyBorder="1" applyAlignment="1" applyProtection="1">
      <alignment horizontal="center" vertical="center"/>
      <protection locked="0"/>
    </xf>
    <xf numFmtId="0" fontId="0" fillId="4" borderId="23" xfId="0" applyFill="1" applyBorder="1" applyAlignment="1" applyProtection="1">
      <alignment horizontal="center" vertical="center"/>
      <protection locked="0"/>
    </xf>
    <xf numFmtId="0" fontId="0" fillId="4" borderId="23" xfId="0" applyFill="1" applyBorder="1" applyAlignment="1">
      <alignment wrapText="1"/>
    </xf>
    <xf numFmtId="0" fontId="0" fillId="4" borderId="24" xfId="0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1" fontId="1" fillId="2" borderId="12" xfId="0" applyNumberFormat="1" applyFont="1" applyFill="1" applyBorder="1" applyAlignment="1" applyProtection="1">
      <alignment horizontal="center" vertical="center"/>
    </xf>
    <xf numFmtId="2" fontId="1" fillId="2" borderId="12" xfId="0" applyNumberFormat="1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14" fontId="0" fillId="4" borderId="1" xfId="0" applyNumberFormat="1" applyFill="1" applyBorder="1"/>
    <xf numFmtId="0" fontId="0" fillId="4" borderId="1" xfId="0" applyFill="1" applyBorder="1" applyAlignment="1" applyProtection="1">
      <alignment horizontal="left" vertical="center" wrapText="1"/>
      <protection locked="0"/>
    </xf>
    <xf numFmtId="14" fontId="0" fillId="4" borderId="2" xfId="0" applyNumberFormat="1" applyFill="1" applyBorder="1"/>
    <xf numFmtId="0" fontId="0" fillId="4" borderId="2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5"/>
  <sheetViews>
    <sheetView tabSelected="1" workbookViewId="0">
      <selection sqref="A1:F45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123" t="s">
        <v>2</v>
      </c>
      <c r="B1" s="124" t="s">
        <v>11</v>
      </c>
      <c r="C1" s="125" t="s">
        <v>3</v>
      </c>
      <c r="D1" s="126" t="s">
        <v>4</v>
      </c>
      <c r="E1" s="127" t="s">
        <v>0</v>
      </c>
      <c r="F1" s="128" t="s">
        <v>1</v>
      </c>
    </row>
    <row r="2" spans="1:9" x14ac:dyDescent="0.25">
      <c r="A2" s="129">
        <v>43252</v>
      </c>
      <c r="B2" s="87">
        <f t="shared" ref="B2" si="0">WEEKNUM(A2)</f>
        <v>22</v>
      </c>
      <c r="C2" s="88">
        <v>1.5</v>
      </c>
      <c r="D2" s="89" t="s">
        <v>9</v>
      </c>
      <c r="E2" s="90" t="s">
        <v>61</v>
      </c>
      <c r="F2" s="130"/>
      <c r="I2" s="7"/>
    </row>
    <row r="3" spans="1:9" ht="30.75" thickBot="1" x14ac:dyDescent="0.3">
      <c r="A3" s="131">
        <v>43252</v>
      </c>
      <c r="B3" s="69">
        <f t="shared" ref="B3" si="1">WEEKNUM(A3)</f>
        <v>22</v>
      </c>
      <c r="C3" s="70">
        <v>3.75</v>
      </c>
      <c r="D3" s="71" t="s">
        <v>9</v>
      </c>
      <c r="E3" s="72" t="s">
        <v>60</v>
      </c>
      <c r="F3" s="132"/>
      <c r="I3" s="7"/>
    </row>
    <row r="4" spans="1:9" ht="30" x14ac:dyDescent="0.25">
      <c r="A4" s="99">
        <v>43251</v>
      </c>
      <c r="B4" s="100">
        <f t="shared" ref="B4" si="2">WEEKNUM(A4)</f>
        <v>22</v>
      </c>
      <c r="C4" s="101">
        <v>3</v>
      </c>
      <c r="D4" s="102" t="s">
        <v>9</v>
      </c>
      <c r="E4" s="103" t="s">
        <v>59</v>
      </c>
      <c r="F4" s="104"/>
      <c r="I4" s="7"/>
    </row>
    <row r="5" spans="1:9" ht="30" x14ac:dyDescent="0.25">
      <c r="A5" s="91">
        <v>43251</v>
      </c>
      <c r="B5" s="87">
        <f t="shared" ref="B5" si="3">WEEKNUM(A5)</f>
        <v>22</v>
      </c>
      <c r="C5" s="88">
        <v>1.5</v>
      </c>
      <c r="D5" s="89" t="s">
        <v>7</v>
      </c>
      <c r="E5" s="90" t="s">
        <v>56</v>
      </c>
      <c r="F5" s="92" t="s">
        <v>57</v>
      </c>
      <c r="I5" s="7"/>
    </row>
    <row r="6" spans="1:9" ht="15.75" thickBot="1" x14ac:dyDescent="0.3">
      <c r="A6" s="75">
        <v>43251</v>
      </c>
      <c r="B6" s="76">
        <f t="shared" ref="B6" si="4">WEEKNUM(A6)</f>
        <v>22</v>
      </c>
      <c r="C6" s="77">
        <v>3</v>
      </c>
      <c r="D6" s="78" t="s">
        <v>7</v>
      </c>
      <c r="E6" s="79" t="s">
        <v>55</v>
      </c>
      <c r="F6" s="80"/>
      <c r="I6" s="7"/>
    </row>
    <row r="7" spans="1:9" x14ac:dyDescent="0.25">
      <c r="A7" s="33">
        <v>43250</v>
      </c>
      <c r="B7" s="34">
        <f t="shared" ref="B7" si="5">WEEKNUM(A7)</f>
        <v>22</v>
      </c>
      <c r="C7" s="35">
        <v>2.25</v>
      </c>
      <c r="D7" s="36" t="s">
        <v>7</v>
      </c>
      <c r="E7" s="37" t="s">
        <v>53</v>
      </c>
      <c r="F7" s="38" t="s">
        <v>54</v>
      </c>
      <c r="I7" s="7"/>
    </row>
    <row r="8" spans="1:9" ht="30.75" thickBot="1" x14ac:dyDescent="0.3">
      <c r="A8" s="111">
        <v>43250</v>
      </c>
      <c r="B8" s="112">
        <f t="shared" ref="B8" si="6">WEEKNUM(A8)</f>
        <v>22</v>
      </c>
      <c r="C8" s="113">
        <v>1.5</v>
      </c>
      <c r="D8" s="114" t="s">
        <v>6</v>
      </c>
      <c r="E8" s="115" t="s">
        <v>58</v>
      </c>
      <c r="F8" s="116"/>
      <c r="I8" s="7"/>
    </row>
    <row r="9" spans="1:9" ht="30" x14ac:dyDescent="0.25">
      <c r="A9" s="99">
        <v>43249</v>
      </c>
      <c r="B9" s="100">
        <f t="shared" ref="B9" si="7">WEEKNUM(A9)</f>
        <v>22</v>
      </c>
      <c r="C9" s="101">
        <v>2.25</v>
      </c>
      <c r="D9" s="102" t="s">
        <v>7</v>
      </c>
      <c r="E9" s="103" t="s">
        <v>52</v>
      </c>
      <c r="F9" s="104"/>
      <c r="I9" s="7"/>
    </row>
    <row r="10" spans="1:9" ht="30" x14ac:dyDescent="0.25">
      <c r="A10" s="93">
        <v>43250</v>
      </c>
      <c r="B10" s="94">
        <f t="shared" ref="B10" si="8">WEEKNUM(A10)</f>
        <v>22</v>
      </c>
      <c r="C10" s="95">
        <v>0.75</v>
      </c>
      <c r="D10" s="96" t="s">
        <v>9</v>
      </c>
      <c r="E10" s="97" t="s">
        <v>51</v>
      </c>
      <c r="F10" s="98"/>
      <c r="I10" s="7"/>
    </row>
    <row r="11" spans="1:9" ht="15.75" thickBot="1" x14ac:dyDescent="0.3">
      <c r="A11" s="117">
        <v>43250</v>
      </c>
      <c r="B11" s="118">
        <f t="shared" ref="B11" si="9">WEEKNUM(A11)</f>
        <v>22</v>
      </c>
      <c r="C11" s="119">
        <v>0.75</v>
      </c>
      <c r="D11" s="120" t="s">
        <v>6</v>
      </c>
      <c r="E11" s="121" t="s">
        <v>22</v>
      </c>
      <c r="F11" s="122"/>
      <c r="I11" s="7"/>
    </row>
    <row r="12" spans="1:9" x14ac:dyDescent="0.25">
      <c r="A12" s="33">
        <v>43249</v>
      </c>
      <c r="B12" s="34">
        <f t="shared" ref="B12" si="10">WEEKNUM(A12)</f>
        <v>22</v>
      </c>
      <c r="C12" s="35">
        <v>1.5</v>
      </c>
      <c r="D12" s="36" t="s">
        <v>7</v>
      </c>
      <c r="E12" s="37" t="s">
        <v>49</v>
      </c>
      <c r="F12" s="38"/>
      <c r="I12" s="7"/>
    </row>
    <row r="13" spans="1:9" x14ac:dyDescent="0.25">
      <c r="A13" s="105">
        <v>43249</v>
      </c>
      <c r="B13" s="106">
        <f t="shared" ref="B13" si="11">WEEKNUM(A13)</f>
        <v>22</v>
      </c>
      <c r="C13" s="107">
        <v>0.75</v>
      </c>
      <c r="D13" s="108" t="s">
        <v>6</v>
      </c>
      <c r="E13" s="109" t="s">
        <v>22</v>
      </c>
      <c r="F13" s="110"/>
      <c r="I13" s="7"/>
    </row>
    <row r="14" spans="1:9" ht="30.75" thickBot="1" x14ac:dyDescent="0.3">
      <c r="A14" s="111">
        <v>43249</v>
      </c>
      <c r="B14" s="112">
        <f t="shared" ref="B14" si="12">WEEKNUM(A14)</f>
        <v>22</v>
      </c>
      <c r="C14" s="113">
        <v>3.75</v>
      </c>
      <c r="D14" s="114" t="s">
        <v>9</v>
      </c>
      <c r="E14" s="115" t="s">
        <v>50</v>
      </c>
      <c r="F14" s="116"/>
      <c r="I14" s="7"/>
    </row>
    <row r="15" spans="1:9" ht="30" x14ac:dyDescent="0.25">
      <c r="A15" s="99">
        <v>43245</v>
      </c>
      <c r="B15" s="100">
        <f t="shared" ref="B15" si="13">WEEKNUM(A15)</f>
        <v>21</v>
      </c>
      <c r="C15" s="101">
        <v>0.75</v>
      </c>
      <c r="D15" s="102" t="s">
        <v>7</v>
      </c>
      <c r="E15" s="103" t="s">
        <v>39</v>
      </c>
      <c r="F15" s="104" t="s">
        <v>46</v>
      </c>
      <c r="I15" s="7"/>
    </row>
    <row r="16" spans="1:9" ht="30" x14ac:dyDescent="0.25">
      <c r="A16" s="91">
        <v>43245</v>
      </c>
      <c r="B16" s="87">
        <f t="shared" ref="B16" si="14">WEEKNUM(A16)</f>
        <v>21</v>
      </c>
      <c r="C16" s="88">
        <v>0.75</v>
      </c>
      <c r="D16" s="89" t="s">
        <v>9</v>
      </c>
      <c r="E16" s="90" t="s">
        <v>40</v>
      </c>
      <c r="F16" s="92"/>
      <c r="I16" s="7"/>
    </row>
    <row r="17" spans="1:9" x14ac:dyDescent="0.25">
      <c r="A17" s="91">
        <v>43245</v>
      </c>
      <c r="B17" s="87">
        <f t="shared" ref="B17" si="15">WEEKNUM(A17)</f>
        <v>21</v>
      </c>
      <c r="C17" s="88">
        <v>1.5</v>
      </c>
      <c r="D17" s="89" t="s">
        <v>9</v>
      </c>
      <c r="E17" s="90" t="s">
        <v>38</v>
      </c>
      <c r="F17" s="92"/>
      <c r="I17" s="7"/>
    </row>
    <row r="18" spans="1:9" ht="30.75" thickBot="1" x14ac:dyDescent="0.3">
      <c r="A18" s="75">
        <v>43245</v>
      </c>
      <c r="B18" s="76">
        <f t="shared" ref="B18" si="16">WEEKNUM(A18)</f>
        <v>21</v>
      </c>
      <c r="C18" s="77">
        <v>2.25</v>
      </c>
      <c r="D18" s="78" t="s">
        <v>7</v>
      </c>
      <c r="E18" s="79" t="s">
        <v>36</v>
      </c>
      <c r="F18" s="80" t="s">
        <v>41</v>
      </c>
      <c r="I18" s="7"/>
    </row>
    <row r="19" spans="1:9" ht="30" x14ac:dyDescent="0.25">
      <c r="A19" s="33">
        <v>43244</v>
      </c>
      <c r="B19" s="34">
        <f>WEEKNUM(A19)</f>
        <v>21</v>
      </c>
      <c r="C19" s="35">
        <v>3</v>
      </c>
      <c r="D19" s="36" t="s">
        <v>6</v>
      </c>
      <c r="E19" s="37" t="s">
        <v>35</v>
      </c>
      <c r="F19" s="38"/>
      <c r="I19" s="7"/>
    </row>
    <row r="20" spans="1:9" x14ac:dyDescent="0.25">
      <c r="A20" s="39">
        <v>43244</v>
      </c>
      <c r="B20" s="40">
        <f>WEEKNUM(A20)</f>
        <v>21</v>
      </c>
      <c r="C20" s="41">
        <v>0.75</v>
      </c>
      <c r="D20" s="42" t="s">
        <v>6</v>
      </c>
      <c r="E20" s="43" t="s">
        <v>37</v>
      </c>
      <c r="F20" s="44"/>
      <c r="I20" s="7"/>
    </row>
    <row r="21" spans="1:9" x14ac:dyDescent="0.25">
      <c r="A21" s="39">
        <v>43244</v>
      </c>
      <c r="B21" s="40">
        <f t="shared" ref="B21" si="17">WEEKNUM(A21)</f>
        <v>21</v>
      </c>
      <c r="C21" s="41">
        <v>1.5</v>
      </c>
      <c r="D21" s="42" t="s">
        <v>9</v>
      </c>
      <c r="E21" s="43" t="s">
        <v>33</v>
      </c>
      <c r="F21" s="44"/>
      <c r="I21" s="7"/>
    </row>
    <row r="22" spans="1:9" ht="30.75" thickBot="1" x14ac:dyDescent="0.3">
      <c r="A22" s="45">
        <v>43244</v>
      </c>
      <c r="B22" s="46">
        <f t="shared" ref="B22" si="18">WEEKNUM(A22)</f>
        <v>21</v>
      </c>
      <c r="C22" s="47">
        <v>1.5</v>
      </c>
      <c r="D22" s="48" t="s">
        <v>9</v>
      </c>
      <c r="E22" s="49" t="s">
        <v>34</v>
      </c>
      <c r="F22" s="50"/>
      <c r="I22" s="7"/>
    </row>
    <row r="23" spans="1:9" x14ac:dyDescent="0.25">
      <c r="A23" s="81">
        <v>43243</v>
      </c>
      <c r="B23" s="82">
        <f t="shared" ref="B23" si="19">WEEKNUM(A23)</f>
        <v>21</v>
      </c>
      <c r="C23" s="83">
        <v>0.75</v>
      </c>
      <c r="D23" s="84" t="s">
        <v>9</v>
      </c>
      <c r="E23" s="85" t="s">
        <v>31</v>
      </c>
      <c r="F23" s="86"/>
      <c r="I23" s="7"/>
    </row>
    <row r="24" spans="1:9" x14ac:dyDescent="0.25">
      <c r="A24" s="73">
        <v>43243</v>
      </c>
      <c r="B24" s="69">
        <f t="shared" ref="B24" si="20">WEEKNUM(A24)</f>
        <v>21</v>
      </c>
      <c r="C24" s="70">
        <v>0.75</v>
      </c>
      <c r="D24" s="71" t="s">
        <v>6</v>
      </c>
      <c r="E24" s="72" t="s">
        <v>32</v>
      </c>
      <c r="F24" s="74"/>
      <c r="I24" s="7"/>
    </row>
    <row r="25" spans="1:9" ht="30.75" thickBot="1" x14ac:dyDescent="0.3">
      <c r="A25" s="75">
        <v>43243</v>
      </c>
      <c r="B25" s="76">
        <f t="shared" ref="B25" si="21">WEEKNUM(A25)</f>
        <v>21</v>
      </c>
      <c r="C25" s="77">
        <v>3</v>
      </c>
      <c r="D25" s="78" t="s">
        <v>7</v>
      </c>
      <c r="E25" s="79" t="s">
        <v>30</v>
      </c>
      <c r="F25" s="80" t="s">
        <v>42</v>
      </c>
      <c r="I25" s="7"/>
    </row>
    <row r="26" spans="1:9" x14ac:dyDescent="0.25">
      <c r="A26" s="57">
        <v>43242</v>
      </c>
      <c r="B26" s="58">
        <f t="shared" ref="B26" si="22">WEEKNUM(A26)</f>
        <v>21</v>
      </c>
      <c r="C26" s="59">
        <v>4.5</v>
      </c>
      <c r="D26" s="60" t="s">
        <v>9</v>
      </c>
      <c r="E26" s="61" t="s">
        <v>24</v>
      </c>
      <c r="F26" s="62"/>
      <c r="I26" s="7"/>
    </row>
    <row r="27" spans="1:9" x14ac:dyDescent="0.25">
      <c r="A27" s="63">
        <v>43242</v>
      </c>
      <c r="B27" s="64">
        <f t="shared" ref="B27" si="23">WEEKNUM(A27)</f>
        <v>21</v>
      </c>
      <c r="C27" s="65">
        <v>0.75</v>
      </c>
      <c r="D27" s="66" t="s">
        <v>6</v>
      </c>
      <c r="E27" s="67" t="s">
        <v>22</v>
      </c>
      <c r="F27" s="68"/>
      <c r="I27" s="7"/>
    </row>
    <row r="28" spans="1:9" ht="30.75" thickBot="1" x14ac:dyDescent="0.3">
      <c r="A28" s="45">
        <v>43242</v>
      </c>
      <c r="B28" s="46">
        <f t="shared" ref="B28" si="24">WEEKNUM(A28)</f>
        <v>21</v>
      </c>
      <c r="C28" s="47">
        <v>0.75</v>
      </c>
      <c r="D28" s="48" t="s">
        <v>6</v>
      </c>
      <c r="E28" s="49" t="s">
        <v>23</v>
      </c>
      <c r="F28" s="50"/>
      <c r="I28" s="7"/>
    </row>
    <row r="29" spans="1:9" x14ac:dyDescent="0.25">
      <c r="A29" s="25">
        <v>43238</v>
      </c>
      <c r="B29" s="26">
        <f t="shared" ref="B29" si="25">WEEKNUM(A29)</f>
        <v>20</v>
      </c>
      <c r="C29" s="27">
        <v>1.5</v>
      </c>
      <c r="D29" s="28" t="s">
        <v>6</v>
      </c>
      <c r="E29" s="29" t="s">
        <v>29</v>
      </c>
      <c r="F29" s="30" t="s">
        <v>43</v>
      </c>
      <c r="I29" s="7"/>
    </row>
    <row r="30" spans="1:9" ht="15.75" thickBot="1" x14ac:dyDescent="0.3">
      <c r="A30" s="19">
        <v>43238</v>
      </c>
      <c r="B30" s="20">
        <f t="shared" ref="B30:B32" si="26">WEEKNUM(A30)</f>
        <v>20</v>
      </c>
      <c r="C30" s="21">
        <v>3.75</v>
      </c>
      <c r="D30" s="22" t="s">
        <v>7</v>
      </c>
      <c r="E30" s="23" t="s">
        <v>28</v>
      </c>
      <c r="F30" s="24" t="s">
        <v>44</v>
      </c>
      <c r="I30" s="7"/>
    </row>
    <row r="31" spans="1:9" ht="30" x14ac:dyDescent="0.25">
      <c r="A31" s="57">
        <v>43237</v>
      </c>
      <c r="B31" s="58">
        <f t="shared" ref="B31" si="27">WEEKNUM(A31)</f>
        <v>20</v>
      </c>
      <c r="C31" s="59">
        <v>3.75</v>
      </c>
      <c r="D31" s="60" t="s">
        <v>7</v>
      </c>
      <c r="E31" s="61" t="s">
        <v>27</v>
      </c>
      <c r="F31" s="62"/>
      <c r="I31" s="7"/>
    </row>
    <row r="32" spans="1:9" x14ac:dyDescent="0.25">
      <c r="A32" s="63">
        <v>43237</v>
      </c>
      <c r="B32" s="64">
        <f t="shared" si="26"/>
        <v>20</v>
      </c>
      <c r="C32" s="65">
        <v>1.5</v>
      </c>
      <c r="D32" s="66" t="s">
        <v>9</v>
      </c>
      <c r="E32" s="67" t="s">
        <v>20</v>
      </c>
      <c r="F32" s="68"/>
      <c r="I32" s="7"/>
    </row>
    <row r="33" spans="1:9" ht="15.75" thickBot="1" x14ac:dyDescent="0.3">
      <c r="A33" s="45">
        <v>43237</v>
      </c>
      <c r="B33" s="46">
        <f t="shared" ref="B33:B35" si="28">WEEKNUM(A33)</f>
        <v>20</v>
      </c>
      <c r="C33" s="47">
        <v>1.5</v>
      </c>
      <c r="D33" s="48" t="s">
        <v>9</v>
      </c>
      <c r="E33" s="49" t="s">
        <v>47</v>
      </c>
      <c r="F33" s="50"/>
      <c r="I33" s="7"/>
    </row>
    <row r="34" spans="1:9" ht="45" x14ac:dyDescent="0.25">
      <c r="A34" s="25">
        <v>43236</v>
      </c>
      <c r="B34" s="26">
        <f t="shared" ref="B34" si="29">WEEKNUM(A34)</f>
        <v>20</v>
      </c>
      <c r="C34" s="27">
        <v>2.25</v>
      </c>
      <c r="D34" s="28" t="s">
        <v>7</v>
      </c>
      <c r="E34" s="29" t="s">
        <v>26</v>
      </c>
      <c r="F34" s="30"/>
      <c r="I34" s="7"/>
    </row>
    <row r="35" spans="1:9" x14ac:dyDescent="0.25">
      <c r="A35" s="31">
        <v>43236</v>
      </c>
      <c r="B35" s="13">
        <f t="shared" si="28"/>
        <v>20</v>
      </c>
      <c r="C35" s="14">
        <v>0.75</v>
      </c>
      <c r="D35" s="15" t="s">
        <v>9</v>
      </c>
      <c r="E35" s="16" t="s">
        <v>19</v>
      </c>
      <c r="F35" s="32"/>
      <c r="I35" s="7"/>
    </row>
    <row r="36" spans="1:9" ht="15.75" thickBot="1" x14ac:dyDescent="0.3">
      <c r="A36" s="31">
        <v>43236</v>
      </c>
      <c r="B36" s="13">
        <f t="shared" ref="B36:B38" si="30">WEEKNUM(A36)</f>
        <v>20</v>
      </c>
      <c r="C36" s="14">
        <v>1.5</v>
      </c>
      <c r="D36" s="15" t="s">
        <v>9</v>
      </c>
      <c r="E36" s="16" t="s">
        <v>48</v>
      </c>
      <c r="F36" s="32"/>
      <c r="I36" s="7"/>
    </row>
    <row r="37" spans="1:9" ht="30" x14ac:dyDescent="0.25">
      <c r="A37" s="33">
        <v>43235</v>
      </c>
      <c r="B37" s="34">
        <f t="shared" ref="B37" si="31">WEEKNUM(A37)</f>
        <v>20</v>
      </c>
      <c r="C37" s="35">
        <v>3.75</v>
      </c>
      <c r="D37" s="36" t="s">
        <v>7</v>
      </c>
      <c r="E37" s="37" t="s">
        <v>25</v>
      </c>
      <c r="F37" s="38"/>
      <c r="I37" s="7"/>
    </row>
    <row r="38" spans="1:9" x14ac:dyDescent="0.25">
      <c r="A38" s="39">
        <v>43235</v>
      </c>
      <c r="B38" s="40">
        <f t="shared" si="30"/>
        <v>20</v>
      </c>
      <c r="C38" s="41">
        <v>0.75</v>
      </c>
      <c r="D38" s="42" t="s">
        <v>6</v>
      </c>
      <c r="E38" s="43" t="s">
        <v>21</v>
      </c>
      <c r="F38" s="44"/>
      <c r="I38" s="7"/>
    </row>
    <row r="39" spans="1:9" ht="30.75" thickBot="1" x14ac:dyDescent="0.3">
      <c r="A39" s="45">
        <v>43235</v>
      </c>
      <c r="B39" s="46">
        <f t="shared" ref="B39:B41" si="32">WEEKNUM(A39)</f>
        <v>20</v>
      </c>
      <c r="C39" s="47">
        <v>1.5</v>
      </c>
      <c r="D39" s="48" t="s">
        <v>6</v>
      </c>
      <c r="E39" s="49" t="s">
        <v>18</v>
      </c>
      <c r="F39" s="50" t="s">
        <v>45</v>
      </c>
      <c r="I39" s="7"/>
    </row>
    <row r="40" spans="1:9" x14ac:dyDescent="0.25">
      <c r="A40" s="51">
        <v>43229</v>
      </c>
      <c r="B40" s="52">
        <f t="shared" si="32"/>
        <v>19</v>
      </c>
      <c r="C40" s="53">
        <v>0.75</v>
      </c>
      <c r="D40" s="54" t="s">
        <v>7</v>
      </c>
      <c r="E40" s="55" t="s">
        <v>17</v>
      </c>
      <c r="F40" s="56"/>
      <c r="I40" s="7"/>
    </row>
    <row r="41" spans="1:9" x14ac:dyDescent="0.25">
      <c r="A41" s="17">
        <v>43229</v>
      </c>
      <c r="B41" s="10">
        <f t="shared" si="32"/>
        <v>19</v>
      </c>
      <c r="C41" s="5">
        <v>3</v>
      </c>
      <c r="D41" s="6" t="s">
        <v>9</v>
      </c>
      <c r="E41" s="12" t="s">
        <v>16</v>
      </c>
      <c r="F41" s="18"/>
      <c r="I41" s="7"/>
    </row>
    <row r="42" spans="1:9" ht="15.75" thickBot="1" x14ac:dyDescent="0.3">
      <c r="A42" s="19">
        <v>43229</v>
      </c>
      <c r="B42" s="20">
        <f t="shared" ref="B42:B43" si="33">WEEKNUM(A42)</f>
        <v>19</v>
      </c>
      <c r="C42" s="21">
        <v>0.75</v>
      </c>
      <c r="D42" s="22" t="s">
        <v>7</v>
      </c>
      <c r="E42" s="23" t="s">
        <v>15</v>
      </c>
      <c r="F42" s="24"/>
      <c r="I42" s="7"/>
    </row>
    <row r="43" spans="1:9" x14ac:dyDescent="0.25">
      <c r="A43" s="33">
        <v>43228</v>
      </c>
      <c r="B43" s="34">
        <f t="shared" si="33"/>
        <v>19</v>
      </c>
      <c r="C43" s="35">
        <v>3</v>
      </c>
      <c r="D43" s="36" t="s">
        <v>9</v>
      </c>
      <c r="E43" s="37" t="s">
        <v>14</v>
      </c>
      <c r="F43" s="38"/>
      <c r="I43" s="7"/>
    </row>
    <row r="44" spans="1:9" x14ac:dyDescent="0.25">
      <c r="A44" s="39">
        <v>43228</v>
      </c>
      <c r="B44" s="40">
        <f t="shared" ref="B44" si="34">WEEKNUM(A44)</f>
        <v>19</v>
      </c>
      <c r="C44" s="41">
        <v>2.25</v>
      </c>
      <c r="D44" s="42" t="s">
        <v>7</v>
      </c>
      <c r="E44" s="43" t="s">
        <v>13</v>
      </c>
      <c r="F44" s="44"/>
      <c r="I44" s="7"/>
    </row>
    <row r="45" spans="1:9" ht="15.75" thickBot="1" x14ac:dyDescent="0.3">
      <c r="A45" s="45">
        <v>43228</v>
      </c>
      <c r="B45" s="46">
        <f t="shared" ref="B45" si="35">WEEKNUM(A45)</f>
        <v>19</v>
      </c>
      <c r="C45" s="47">
        <v>0.75</v>
      </c>
      <c r="D45" s="48" t="s">
        <v>6</v>
      </c>
      <c r="E45" s="49" t="s">
        <v>12</v>
      </c>
      <c r="F45" s="50"/>
      <c r="I45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2018-06-01T12:27:57Z</dcterms:modified>
</cp:coreProperties>
</file>